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PASTA DO USUARIO NÃO APAGAR\Área de Trabalho\Engenharia Ambiental\9º Período\Trabalho de Curso I\Ensaio Sedimentação\"/>
    </mc:Choice>
  </mc:AlternateContent>
  <bookViews>
    <workbookView xWindow="0" yWindow="0" windowWidth="19200" windowHeight="7035" activeTab="3"/>
  </bookViews>
  <sheets>
    <sheet name="Dados" sheetId="1" r:id="rId1"/>
    <sheet name="Gráfico" sheetId="5" r:id="rId2"/>
    <sheet name="2º Grau" sheetId="6" r:id="rId3"/>
    <sheet name="3º Grau" sheetId="7" r:id="rId4"/>
    <sheet name="4º Grau" sheetId="8" r:id="rId5"/>
    <sheet name="Resultados" sheetId="9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7" i="5" l="1"/>
  <c r="M17" i="5"/>
  <c r="M16" i="5"/>
  <c r="L17" i="5"/>
  <c r="L16" i="5"/>
  <c r="L15" i="5"/>
  <c r="K17" i="5"/>
  <c r="K16" i="5"/>
  <c r="K15" i="5"/>
  <c r="K14" i="5"/>
  <c r="J17" i="5"/>
  <c r="J16" i="5"/>
  <c r="J15" i="5"/>
  <c r="J14" i="5"/>
  <c r="J13" i="5"/>
  <c r="I17" i="5"/>
  <c r="I16" i="5"/>
  <c r="I15" i="5"/>
  <c r="I14" i="5"/>
  <c r="I13" i="5"/>
  <c r="I12" i="5"/>
  <c r="H17" i="5"/>
  <c r="H16" i="5"/>
  <c r="H15" i="5"/>
  <c r="H14" i="5"/>
  <c r="H13" i="5"/>
  <c r="H12" i="5"/>
  <c r="H11" i="5"/>
  <c r="G17" i="5"/>
  <c r="G16" i="5"/>
  <c r="G15" i="5"/>
  <c r="G14" i="5"/>
  <c r="G13" i="5"/>
  <c r="G12" i="5"/>
  <c r="G11" i="5"/>
  <c r="G10" i="5"/>
  <c r="F17" i="5"/>
  <c r="F16" i="5"/>
  <c r="F15" i="5"/>
  <c r="F14" i="5"/>
  <c r="F13" i="5"/>
  <c r="F12" i="5"/>
  <c r="F11" i="5"/>
  <c r="F10" i="5"/>
  <c r="F9" i="5"/>
</calcChain>
</file>

<file path=xl/comments1.xml><?xml version="1.0" encoding="utf-8"?>
<comments xmlns="http://schemas.openxmlformats.org/spreadsheetml/2006/main">
  <authors>
    <author>Jose Victor</author>
  </authors>
  <commentList>
    <comment ref="A6" authorId="0" shapeId="0">
      <text>
        <r>
          <rPr>
            <b/>
            <sz val="9"/>
            <color indexed="81"/>
            <rFont val="Segoe UI"/>
            <family val="2"/>
          </rPr>
          <t>Jose Victor:</t>
        </r>
        <r>
          <rPr>
            <sz val="9"/>
            <color indexed="81"/>
            <rFont val="Segoe UI"/>
            <family val="2"/>
          </rPr>
          <t xml:space="preserve">
Intervalos devem ser equidistantes e em ordem crescente</t>
        </r>
      </text>
    </comment>
  </commentList>
</comments>
</file>

<file path=xl/comments2.xml><?xml version="1.0" encoding="utf-8"?>
<comments xmlns="http://schemas.openxmlformats.org/spreadsheetml/2006/main">
  <authors>
    <author>Jose Victor</author>
  </authors>
  <commentList>
    <comment ref="H3" authorId="0" shapeId="0">
      <text>
        <r>
          <rPr>
            <b/>
            <sz val="9"/>
            <color indexed="81"/>
            <rFont val="Segoe UI"/>
            <family val="2"/>
          </rPr>
          <t>Jose Victor:</t>
        </r>
        <r>
          <rPr>
            <sz val="9"/>
            <color indexed="81"/>
            <rFont val="Segoe UI"/>
            <family val="2"/>
          </rPr>
          <t xml:space="preserve">
TAS / 1,5</t>
        </r>
      </text>
    </comment>
    <comment ref="K3" authorId="0" shapeId="0">
      <text>
        <r>
          <rPr>
            <b/>
            <sz val="9"/>
            <color indexed="81"/>
            <rFont val="Segoe UI"/>
            <family val="2"/>
          </rPr>
          <t>Jose Victor:</t>
        </r>
        <r>
          <rPr>
            <sz val="9"/>
            <color indexed="81"/>
            <rFont val="Segoe UI"/>
            <family val="2"/>
          </rPr>
          <t xml:space="preserve">
TAS / 1,5</t>
        </r>
      </text>
    </comment>
    <comment ref="N3" authorId="0" shapeId="0">
      <text>
        <r>
          <rPr>
            <b/>
            <sz val="9"/>
            <color indexed="81"/>
            <rFont val="Segoe UI"/>
            <family val="2"/>
          </rPr>
          <t>Jose Victor:</t>
        </r>
        <r>
          <rPr>
            <sz val="9"/>
            <color indexed="81"/>
            <rFont val="Segoe UI"/>
            <family val="2"/>
          </rPr>
          <t xml:space="preserve">
TAS / 1,5</t>
        </r>
      </text>
    </comment>
  </commentList>
</comments>
</file>

<file path=xl/sharedStrings.xml><?xml version="1.0" encoding="utf-8"?>
<sst xmlns="http://schemas.openxmlformats.org/spreadsheetml/2006/main" count="132" uniqueCount="85">
  <si>
    <t>Tempo (min)</t>
  </si>
  <si>
    <t>mg/L SST</t>
  </si>
  <si>
    <t>Eficiência de remoção de SST (%)</t>
  </si>
  <si>
    <t>Eficiência (%)</t>
  </si>
  <si>
    <t>Profundidade do decantador (m)</t>
  </si>
  <si>
    <t>Quantidade de Curvas de remoção</t>
  </si>
  <si>
    <t>Curva 1 (%)</t>
  </si>
  <si>
    <t>Curva 2 (%)</t>
  </si>
  <si>
    <t>Curva 3 (%)</t>
  </si>
  <si>
    <t>Curva 4 (%)</t>
  </si>
  <si>
    <t>Curva 5 (%)</t>
  </si>
  <si>
    <t>Curva 6 (%)</t>
  </si>
  <si>
    <t>Curva 7 (%)</t>
  </si>
  <si>
    <t>Curva 8 (%)</t>
  </si>
  <si>
    <t>Curva 9 (%)</t>
  </si>
  <si>
    <t>Curva 10 (%)</t>
  </si>
  <si>
    <t>X</t>
  </si>
  <si>
    <t>Y</t>
  </si>
  <si>
    <t>Curva 50</t>
  </si>
  <si>
    <t>Curva 60</t>
  </si>
  <si>
    <t>Curva 70</t>
  </si>
  <si>
    <t>Curva 85</t>
  </si>
  <si>
    <t>Rt 50</t>
  </si>
  <si>
    <t>Rt 60</t>
  </si>
  <si>
    <t>Rt 70</t>
  </si>
  <si>
    <t>Rt 85</t>
  </si>
  <si>
    <t>Curva de % de remoção</t>
  </si>
  <si>
    <t>Rt, %</t>
  </si>
  <si>
    <t>Vs (m/h)</t>
  </si>
  <si>
    <t>ENSAIO DE SEDIMENTAÇÃO - JOSÉ VICTOR LEÃO DE OLIVEIRA</t>
  </si>
  <si>
    <t>REGRESSÃO POLINOMIAL DO 2º GRAU</t>
  </si>
  <si>
    <t>Rt (%)</t>
  </si>
  <si>
    <t>REGRESSÃO POLINOMIAL DO 3º GRAU</t>
  </si>
  <si>
    <t>REGRESSÃO POLINOMIAL DO 4º GRAU</t>
  </si>
  <si>
    <t>RESULTADOS</t>
  </si>
  <si>
    <t>Teste</t>
  </si>
  <si>
    <t>Profundidade (m)</t>
  </si>
  <si>
    <t>Quantidade de curvas de remoção</t>
  </si>
  <si>
    <t>Eficiência das curvas</t>
  </si>
  <si>
    <t>Eficiencia de remoção (%)</t>
  </si>
  <si>
    <t>Regressão Polinomial do 2º Grau</t>
  </si>
  <si>
    <t>Regressão Polinomial do 3º Grau</t>
  </si>
  <si>
    <t>Regressão Polinomial do 4º Grau</t>
  </si>
  <si>
    <t>TAS (m³/m².h)</t>
  </si>
  <si>
    <t>TAS Corrigida (m³/m².h)</t>
  </si>
  <si>
    <t>Curva 30</t>
  </si>
  <si>
    <t>Curva 40</t>
  </si>
  <si>
    <t>Rt 30</t>
  </si>
  <si>
    <t>30 p/ 40</t>
  </si>
  <si>
    <t>Rt 40</t>
  </si>
  <si>
    <t>40 p/ 50</t>
  </si>
  <si>
    <t>30 ; 40 ; 50 ; 60 ; 70 ; 85</t>
  </si>
  <si>
    <t>Curva 88</t>
  </si>
  <si>
    <t>X = 38,5714</t>
  </si>
  <si>
    <t>X = 48,7527</t>
  </si>
  <si>
    <t>X = 56,8896</t>
  </si>
  <si>
    <t>X = 75,6268</t>
  </si>
  <si>
    <t>85 p/ 88</t>
  </si>
  <si>
    <t>Rt 88</t>
  </si>
  <si>
    <t>X = 80</t>
  </si>
  <si>
    <t>88 p/ 100</t>
  </si>
  <si>
    <t>h1 = 1 m</t>
  </si>
  <si>
    <t>h2 = 2 m</t>
  </si>
  <si>
    <t>h3 = 3 m</t>
  </si>
  <si>
    <t>X = 20</t>
  </si>
  <si>
    <t>X = 31,4286</t>
  </si>
  <si>
    <t>30 ; 40 ; 50 ; 60 ; 70 ; 85 ; 88</t>
  </si>
  <si>
    <t>Curva 75</t>
  </si>
  <si>
    <t>70 p/ 75</t>
  </si>
  <si>
    <t>Rt 75</t>
  </si>
  <si>
    <t>X = 61,4006</t>
  </si>
  <si>
    <t>75 p/ 85</t>
  </si>
  <si>
    <t>30 ; 40 ; 50 ; 60 ; 70 ; 75 ; 85 ; 88</t>
  </si>
  <si>
    <t>Curva 65</t>
  </si>
  <si>
    <t>60 p/ 65</t>
  </si>
  <si>
    <t>Rt 65</t>
  </si>
  <si>
    <t>X = 53,0016</t>
  </si>
  <si>
    <t>65 p/ 70</t>
  </si>
  <si>
    <t>30 ; 40 ; 50 ; 60 ; 65 ; 70 ; 75 ; 85 ; 88</t>
  </si>
  <si>
    <t>Curva 55</t>
  </si>
  <si>
    <t>50 p/ 55</t>
  </si>
  <si>
    <t>Rt 55</t>
  </si>
  <si>
    <t>X = 43,2823</t>
  </si>
  <si>
    <t>55 p/ 60</t>
  </si>
  <si>
    <t>30 ; 40 ; 50 ; 55 ; 60 ; 65 ; 70 ; 75 ; 85 ; 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</si>
</sst>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8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0" fillId="0" borderId="0" xfId="0" applyNumberFormat="1" applyBorder="1" applyAlignment="1" applyProtection="1">
      <alignment horizontal="right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0" xfId="0" applyAlignment="1" applyProtection="1">
      <alignment horizontal="left"/>
    </xf>
    <xf numFmtId="0" fontId="0" fillId="0" borderId="0" xfId="0" applyBorder="1" applyAlignment="1" applyProtection="1">
      <alignment horizontal="left"/>
    </xf>
    <xf numFmtId="0" fontId="0" fillId="0" borderId="0" xfId="0" applyFill="1" applyBorder="1" applyAlignment="1" applyProtection="1">
      <alignment horizontal="left"/>
    </xf>
    <xf numFmtId="0" fontId="0" fillId="0" borderId="0" xfId="0" applyFill="1" applyProtection="1">
      <protection locked="0"/>
    </xf>
    <xf numFmtId="0" fontId="0" fillId="0" borderId="0" xfId="0" applyBorder="1" applyAlignment="1" applyProtection="1">
      <alignment horizontal="center"/>
    </xf>
    <xf numFmtId="0" fontId="6" fillId="0" borderId="0" xfId="0" applyFont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7" fillId="0" borderId="1" xfId="0" applyFont="1" applyBorder="1" applyProtection="1"/>
    <xf numFmtId="0" fontId="7" fillId="0" borderId="1" xfId="0" applyFont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164" fontId="0" fillId="0" borderId="0" xfId="0" applyNumberFormat="1" applyProtection="1">
      <protection locked="0"/>
    </xf>
    <xf numFmtId="0" fontId="7" fillId="0" borderId="5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7" fillId="0" borderId="7" xfId="0" applyFont="1" applyBorder="1" applyAlignment="1" applyProtection="1">
      <alignment horizontal="center"/>
    </xf>
    <xf numFmtId="0" fontId="7" fillId="0" borderId="2" xfId="0" applyFont="1" applyBorder="1" applyAlignment="1" applyProtection="1">
      <alignment horizontal="center"/>
    </xf>
    <xf numFmtId="0" fontId="7" fillId="0" borderId="3" xfId="0" applyFont="1" applyBorder="1" applyAlignment="1" applyProtection="1">
      <alignment horizontal="center"/>
    </xf>
    <xf numFmtId="0" fontId="7" fillId="0" borderId="4" xfId="0" applyFont="1" applyBorder="1" applyAlignment="1" applyProtection="1">
      <alignment horizontal="center"/>
    </xf>
    <xf numFmtId="0" fontId="7" fillId="0" borderId="1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5" fillId="0" borderId="4" xfId="0" applyFont="1" applyBorder="1" applyAlignment="1" applyProtection="1">
      <alignment horizontal="center"/>
    </xf>
    <xf numFmtId="0" fontId="5" fillId="0" borderId="0" xfId="0" applyFont="1" applyBorder="1" applyAlignment="1" applyProtection="1"/>
    <xf numFmtId="0" fontId="7" fillId="0" borderId="1" xfId="0" applyFont="1" applyBorder="1" applyAlignment="1" applyProtection="1">
      <alignment horizontal="center"/>
      <protection locked="0"/>
    </xf>
    <xf numFmtId="0" fontId="8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11" fillId="0" borderId="1" xfId="0" applyFont="1" applyBorder="1" applyAlignment="1" applyProtection="1">
      <alignment horizontal="center"/>
    </xf>
    <xf numFmtId="0" fontId="12" fillId="0" borderId="0" xfId="0" applyFont="1" applyProtection="1">
      <protection locked="0"/>
    </xf>
    <xf numFmtId="0" fontId="11" fillId="0" borderId="1" xfId="0" applyFont="1" applyBorder="1" applyAlignment="1" applyProtection="1">
      <alignment horizontal="center" vertical="center"/>
    </xf>
    <xf numFmtId="0" fontId="11" fillId="0" borderId="1" xfId="0" applyFont="1" applyBorder="1" applyAlignment="1" applyProtection="1">
      <alignment horizontal="center" vertical="center" wrapText="1"/>
    </xf>
    <xf numFmtId="0" fontId="11" fillId="0" borderId="1" xfId="0" applyFont="1" applyBorder="1" applyAlignment="1" applyProtection="1">
      <alignment horizontal="center" vertical="center" wrapText="1"/>
    </xf>
    <xf numFmtId="0" fontId="12" fillId="0" borderId="8" xfId="0" applyFont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Curvas de eficiência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Gráfico!$A$1</c:f>
              <c:strCache>
                <c:ptCount val="1"/>
                <c:pt idx="0">
                  <c:v>Curva 30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Gráfico!$A$3:$A$6</c:f>
              <c:numCache>
                <c:formatCode>General</c:formatCode>
                <c:ptCount val="4"/>
                <c:pt idx="0">
                  <c:v>0</c:v>
                </c:pt>
                <c:pt idx="1">
                  <c:v>12.86</c:v>
                </c:pt>
                <c:pt idx="2">
                  <c:v>18.403400000000001</c:v>
                </c:pt>
                <c:pt idx="3">
                  <c:v>20</c:v>
                </c:pt>
              </c:numCache>
            </c:numRef>
          </c:xVal>
          <c:yVal>
            <c:numRef>
              <c:f>Gráfico!$B$3:$B$6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Gráfico!$D$1</c:f>
              <c:strCache>
                <c:ptCount val="1"/>
                <c:pt idx="0">
                  <c:v>Curva 40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Gráfico!$D$3:$D$6</c:f>
              <c:numCache>
                <c:formatCode>General</c:formatCode>
                <c:ptCount val="4"/>
                <c:pt idx="0">
                  <c:v>0</c:v>
                </c:pt>
                <c:pt idx="1">
                  <c:v>21.3</c:v>
                </c:pt>
                <c:pt idx="2">
                  <c:v>26.328600000000002</c:v>
                </c:pt>
                <c:pt idx="3">
                  <c:v>31.428599999999999</c:v>
                </c:pt>
              </c:numCache>
            </c:numRef>
          </c:xVal>
          <c:yVal>
            <c:numRef>
              <c:f>Gráfico!$E$3:$E$6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Gráfico!$G$1</c:f>
              <c:strCache>
                <c:ptCount val="1"/>
                <c:pt idx="0">
                  <c:v>Curva 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Gráfico!$G$3:$G$6</c:f>
              <c:numCache>
                <c:formatCode>General</c:formatCode>
                <c:ptCount val="4"/>
                <c:pt idx="0">
                  <c:v>0</c:v>
                </c:pt>
                <c:pt idx="1">
                  <c:v>25.845500000000001</c:v>
                </c:pt>
                <c:pt idx="2">
                  <c:v>36.075000000000003</c:v>
                </c:pt>
                <c:pt idx="3">
                  <c:v>38.571399999999997</c:v>
                </c:pt>
              </c:numCache>
            </c:numRef>
          </c:xVal>
          <c:yVal>
            <c:numRef>
              <c:f>Gráfico!$H$3:$H$6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Gráfico!$J$1</c:f>
              <c:strCache>
                <c:ptCount val="1"/>
                <c:pt idx="0">
                  <c:v>Curva 55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Gráfico!$J$3:$J$6</c:f>
              <c:numCache>
                <c:formatCode>General</c:formatCode>
                <c:ptCount val="4"/>
                <c:pt idx="0">
                  <c:v>0</c:v>
                </c:pt>
                <c:pt idx="1">
                  <c:v>28.118200000000002</c:v>
                </c:pt>
                <c:pt idx="2">
                  <c:v>41.103200000000001</c:v>
                </c:pt>
                <c:pt idx="3">
                  <c:v>43.282299999999999</c:v>
                </c:pt>
              </c:numCache>
            </c:numRef>
          </c:xVal>
          <c:yVal>
            <c:numRef>
              <c:f>Gráfico!$K$3:$K$6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Gráfico!$M$1</c:f>
              <c:strCache>
                <c:ptCount val="1"/>
                <c:pt idx="0">
                  <c:v>Curva 60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Gráfico!$M$3:$M$6</c:f>
              <c:numCache>
                <c:formatCode>General</c:formatCode>
                <c:ptCount val="4"/>
                <c:pt idx="0">
                  <c:v>0</c:v>
                </c:pt>
                <c:pt idx="1">
                  <c:v>31.433299999999999</c:v>
                </c:pt>
                <c:pt idx="2">
                  <c:v>44.068800000000003</c:v>
                </c:pt>
                <c:pt idx="3">
                  <c:v>48.752699999999997</c:v>
                </c:pt>
              </c:numCache>
            </c:numRef>
          </c:xVal>
          <c:yVal>
            <c:numRef>
              <c:f>Gráfico!$N$3:$N$6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Gráfico!$P$1</c:f>
              <c:strCache>
                <c:ptCount val="1"/>
                <c:pt idx="0">
                  <c:v>Curva 65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Gráfico!$P$3:$P$6</c:f>
              <c:numCache>
                <c:formatCode>General</c:formatCode>
                <c:ptCount val="4"/>
                <c:pt idx="0">
                  <c:v>0</c:v>
                </c:pt>
                <c:pt idx="1">
                  <c:v>39.7667</c:v>
                </c:pt>
                <c:pt idx="2">
                  <c:v>47.034399999999998</c:v>
                </c:pt>
                <c:pt idx="3">
                  <c:v>53.001600000000003</c:v>
                </c:pt>
              </c:numCache>
            </c:numRef>
          </c:xVal>
          <c:yVal>
            <c:numRef>
              <c:f>Gráfico!$Q$3:$Q$6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Gráfico!$S$1</c:f>
              <c:strCache>
                <c:ptCount val="1"/>
                <c:pt idx="0">
                  <c:v>Curva 70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Gráfico!$S$3:$S$6</c:f>
              <c:numCache>
                <c:formatCode>General</c:formatCode>
                <c:ptCount val="4"/>
                <c:pt idx="0">
                  <c:v>0</c:v>
                </c:pt>
                <c:pt idx="1">
                  <c:v>43.270499999999998</c:v>
                </c:pt>
                <c:pt idx="2">
                  <c:v>50</c:v>
                </c:pt>
                <c:pt idx="3">
                  <c:v>56.889600000000002</c:v>
                </c:pt>
              </c:numCache>
            </c:numRef>
          </c:xVal>
          <c:yVal>
            <c:numRef>
              <c:f>Gráfico!$T$3:$T$6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Gráfico!$V$1</c:f>
              <c:strCache>
                <c:ptCount val="1"/>
                <c:pt idx="0">
                  <c:v>Curva 75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Gráfico!$V$3:$V$6</c:f>
              <c:numCache>
                <c:formatCode>General</c:formatCode>
                <c:ptCount val="4"/>
                <c:pt idx="0">
                  <c:v>0</c:v>
                </c:pt>
                <c:pt idx="1">
                  <c:v>46.635300000000001</c:v>
                </c:pt>
                <c:pt idx="2">
                  <c:v>56.25</c:v>
                </c:pt>
                <c:pt idx="3">
                  <c:v>61.400599999999997</c:v>
                </c:pt>
              </c:numCache>
            </c:numRef>
          </c:xVal>
          <c:yVal>
            <c:numRef>
              <c:f>Gráfico!$W$3:$W$6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Gráfico!$Y$1</c:f>
              <c:strCache>
                <c:ptCount val="1"/>
                <c:pt idx="0">
                  <c:v>Curva 85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Gráfico!$Y$3:$Y$6</c:f>
              <c:numCache>
                <c:formatCode>General</c:formatCode>
                <c:ptCount val="4"/>
                <c:pt idx="0">
                  <c:v>0</c:v>
                </c:pt>
                <c:pt idx="1">
                  <c:v>55.470500000000001</c:v>
                </c:pt>
                <c:pt idx="2">
                  <c:v>68.75</c:v>
                </c:pt>
                <c:pt idx="3">
                  <c:v>75.626800000000003</c:v>
                </c:pt>
              </c:numCache>
            </c:numRef>
          </c:xVal>
          <c:yVal>
            <c:numRef>
              <c:f>Gráfico!$Z$3:$Z$6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Gráfico!$AB$1</c:f>
              <c:strCache>
                <c:ptCount val="1"/>
                <c:pt idx="0">
                  <c:v>Curva 88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Gráfico!$AB$3:$AB$6</c:f>
              <c:numCache>
                <c:formatCode>General</c:formatCode>
                <c:ptCount val="4"/>
                <c:pt idx="0">
                  <c:v>0</c:v>
                </c:pt>
                <c:pt idx="1">
                  <c:v>58.752699999999997</c:v>
                </c:pt>
                <c:pt idx="2">
                  <c:v>73.891099999999994</c:v>
                </c:pt>
                <c:pt idx="3">
                  <c:v>80</c:v>
                </c:pt>
              </c:numCache>
            </c:numRef>
          </c:xVal>
          <c:yVal>
            <c:numRef>
              <c:f>Gráfico!$AC$3:$AC$6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067392"/>
        <c:axId val="703057984"/>
      </c:scatterChart>
      <c:valAx>
        <c:axId val="70306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3057984"/>
        <c:crosses val="autoZero"/>
        <c:crossBetween val="midCat"/>
      </c:valAx>
      <c:valAx>
        <c:axId val="70305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3067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Regressão Polinomial do 2º Grau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36968894693595045"/>
                  <c:y val="9.529145015838484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'2º Grau'!$R$4:$R$14</c:f>
              <c:numCache>
                <c:formatCode>General</c:formatCode>
                <c:ptCount val="11"/>
                <c:pt idx="0">
                  <c:v>9</c:v>
                </c:pt>
                <c:pt idx="1">
                  <c:v>5.7272675206658903</c:v>
                </c:pt>
                <c:pt idx="2">
                  <c:v>4.6666701234593511</c:v>
                </c:pt>
                <c:pt idx="3">
                  <c:v>4.1587438745168352</c:v>
                </c:pt>
                <c:pt idx="4">
                  <c:v>4.0879738745195144</c:v>
                </c:pt>
                <c:pt idx="5">
                  <c:v>3.6921032065916353</c:v>
                </c:pt>
                <c:pt idx="6">
                  <c:v>3.396123890599529</c:v>
                </c:pt>
                <c:pt idx="7">
                  <c:v>3.1640229497131287</c:v>
                </c:pt>
                <c:pt idx="8">
                  <c:v>2.9315674439663457</c:v>
                </c:pt>
                <c:pt idx="9">
                  <c:v>2.3801086387365324</c:v>
                </c:pt>
                <c:pt idx="10">
                  <c:v>2.25</c:v>
                </c:pt>
              </c:numCache>
            </c:numRef>
          </c:xVal>
          <c:yVal>
            <c:numRef>
              <c:f>'2º Grau'!$S$4:$S$14</c:f>
              <c:numCache>
                <c:formatCode>General</c:formatCode>
                <c:ptCount val="11"/>
                <c:pt idx="0">
                  <c:v>39.35282384903536</c:v>
                </c:pt>
                <c:pt idx="1">
                  <c:v>39.152801874605075</c:v>
                </c:pt>
                <c:pt idx="2">
                  <c:v>51.043962377394337</c:v>
                </c:pt>
                <c:pt idx="3">
                  <c:v>58.811256476057906</c:v>
                </c:pt>
                <c:pt idx="4">
                  <c:v>60.000023310997264</c:v>
                </c:pt>
                <c:pt idx="5">
                  <c:v>67.130265621113949</c:v>
                </c:pt>
                <c:pt idx="6">
                  <c:v>72.994014700305584</c:v>
                </c:pt>
                <c:pt idx="7">
                  <c:v>77.91109955120109</c:v>
                </c:pt>
                <c:pt idx="8">
                  <c:v>83.116621465631056</c:v>
                </c:pt>
                <c:pt idx="9">
                  <c:v>96.590375320134385</c:v>
                </c:pt>
                <c:pt idx="10">
                  <c:v>100.00000000000003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064256"/>
        <c:axId val="703063080"/>
      </c:scatterChart>
      <c:valAx>
        <c:axId val="703064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3063080"/>
        <c:crosses val="autoZero"/>
        <c:crossBetween val="midCat"/>
      </c:valAx>
      <c:valAx>
        <c:axId val="70306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3064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Regressão Polinomial do 3º Grau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957391412826688"/>
                  <c:y val="9.529145015838484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'3º Grau'!$R$4:$R$14</c:f>
              <c:numCache>
                <c:formatCode>General</c:formatCode>
                <c:ptCount val="11"/>
                <c:pt idx="0">
                  <c:v>9</c:v>
                </c:pt>
                <c:pt idx="1">
                  <c:v>5.7272675206658903</c:v>
                </c:pt>
                <c:pt idx="2">
                  <c:v>4.6666701234593511</c:v>
                </c:pt>
                <c:pt idx="3">
                  <c:v>4.2914001234735579</c:v>
                </c:pt>
                <c:pt idx="4">
                  <c:v>4.1587438745168352</c:v>
                </c:pt>
                <c:pt idx="5">
                  <c:v>3.6921032065916353</c:v>
                </c:pt>
                <c:pt idx="6">
                  <c:v>3.396123890599529</c:v>
                </c:pt>
                <c:pt idx="7">
                  <c:v>3.1640229497131287</c:v>
                </c:pt>
                <c:pt idx="8">
                  <c:v>2.9315674439663457</c:v>
                </c:pt>
                <c:pt idx="9">
                  <c:v>2.3801086387365324</c:v>
                </c:pt>
                <c:pt idx="10">
                  <c:v>2.25</c:v>
                </c:pt>
              </c:numCache>
            </c:numRef>
          </c:xVal>
          <c:yVal>
            <c:numRef>
              <c:f>'3º Grau'!$S$4:$S$14</c:f>
              <c:numCache>
                <c:formatCode>General</c:formatCode>
                <c:ptCount val="11"/>
                <c:pt idx="0">
                  <c:v>39.352823849035474</c:v>
                </c:pt>
                <c:pt idx="1">
                  <c:v>49.828561359200251</c:v>
                </c:pt>
                <c:pt idx="2">
                  <c:v>56.304919133111895</c:v>
                </c:pt>
                <c:pt idx="3">
                  <c:v>60.000080216126378</c:v>
                </c:pt>
                <c:pt idx="4">
                  <c:v>61.52524216132781</c:v>
                </c:pt>
                <c:pt idx="5">
                  <c:v>67.910924684503982</c:v>
                </c:pt>
                <c:pt idx="6">
                  <c:v>72.868051722383598</c:v>
                </c:pt>
                <c:pt idx="7">
                  <c:v>77.29783998185286</c:v>
                </c:pt>
                <c:pt idx="8">
                  <c:v>82.246116668400703</c:v>
                </c:pt>
                <c:pt idx="9">
                  <c:v>96.213962460913734</c:v>
                </c:pt>
                <c:pt idx="10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069744"/>
        <c:axId val="703065824"/>
      </c:scatterChart>
      <c:valAx>
        <c:axId val="70306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3065824"/>
        <c:crosses val="autoZero"/>
        <c:crossBetween val="midCat"/>
      </c:valAx>
      <c:valAx>
        <c:axId val="70306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3069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Regressão Polinomial do 4º Grau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17483820097707536"/>
                  <c:y val="9.529145015838484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'4º Grau'!$R$4:$R$14</c:f>
              <c:numCache>
                <c:formatCode>General</c:formatCode>
                <c:ptCount val="11"/>
                <c:pt idx="0">
                  <c:v>9</c:v>
                </c:pt>
                <c:pt idx="1">
                  <c:v>5.7272675206658903</c:v>
                </c:pt>
                <c:pt idx="2">
                  <c:v>4.6666701234593511</c:v>
                </c:pt>
                <c:pt idx="3">
                  <c:v>4.3000201234732316</c:v>
                </c:pt>
                <c:pt idx="4">
                  <c:v>4.1587438745168352</c:v>
                </c:pt>
                <c:pt idx="5">
                  <c:v>3.6921032065916353</c:v>
                </c:pt>
                <c:pt idx="6">
                  <c:v>3.396123890599529</c:v>
                </c:pt>
                <c:pt idx="7">
                  <c:v>3.1640229497131287</c:v>
                </c:pt>
                <c:pt idx="8">
                  <c:v>2.9315674439663457</c:v>
                </c:pt>
                <c:pt idx="9">
                  <c:v>2.3801086387365324</c:v>
                </c:pt>
                <c:pt idx="10">
                  <c:v>2.25</c:v>
                </c:pt>
              </c:numCache>
            </c:numRef>
          </c:xVal>
          <c:yVal>
            <c:numRef>
              <c:f>'4º Grau'!$S$4:$S$14</c:f>
              <c:numCache>
                <c:formatCode>General</c:formatCode>
                <c:ptCount val="11"/>
                <c:pt idx="0">
                  <c:v>39.352823849039851</c:v>
                </c:pt>
                <c:pt idx="1">
                  <c:v>48.554677680108853</c:v>
                </c:pt>
                <c:pt idx="2">
                  <c:v>56.248533564748811</c:v>
                </c:pt>
                <c:pt idx="3">
                  <c:v>60.000022242289504</c:v>
                </c:pt>
                <c:pt idx="4">
                  <c:v>61.643135791907469</c:v>
                </c:pt>
                <c:pt idx="5">
                  <c:v>67.992467635523781</c:v>
                </c:pt>
                <c:pt idx="6">
                  <c:v>72.868051722383598</c:v>
                </c:pt>
                <c:pt idx="7">
                  <c:v>77.226290284793777</c:v>
                </c:pt>
                <c:pt idx="8">
                  <c:v>82.11663807466428</c:v>
                </c:pt>
                <c:pt idx="9">
                  <c:v>96.135071643647791</c:v>
                </c:pt>
                <c:pt idx="10">
                  <c:v>100.00000000000027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061904"/>
        <c:axId val="703068568"/>
      </c:scatterChart>
      <c:valAx>
        <c:axId val="70306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3068568"/>
        <c:crosses val="autoZero"/>
        <c:crossBetween val="midCat"/>
      </c:valAx>
      <c:valAx>
        <c:axId val="703068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306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7</xdr:row>
          <xdr:rowOff>0</xdr:rowOff>
        </xdr:from>
        <xdr:to>
          <xdr:col>15</xdr:col>
          <xdr:colOff>0</xdr:colOff>
          <xdr:row>12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TAS!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5</xdr:row>
      <xdr:rowOff>4762</xdr:rowOff>
    </xdr:from>
    <xdr:to>
      <xdr:col>9</xdr:col>
      <xdr:colOff>971550</xdr:colOff>
      <xdr:row>19</xdr:row>
      <xdr:rowOff>80962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189139</xdr:colOff>
      <xdr:row>14</xdr:row>
      <xdr:rowOff>101373</xdr:rowOff>
    </xdr:from>
    <xdr:to>
      <xdr:col>15</xdr:col>
      <xdr:colOff>587829</xdr:colOff>
      <xdr:row>29</xdr:row>
      <xdr:rowOff>27894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638176</xdr:colOff>
      <xdr:row>14</xdr:row>
      <xdr:rowOff>155802</xdr:rowOff>
    </xdr:from>
    <xdr:to>
      <xdr:col>17</xdr:col>
      <xdr:colOff>342901</xdr:colOff>
      <xdr:row>29</xdr:row>
      <xdr:rowOff>82323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638175</xdr:colOff>
      <xdr:row>4</xdr:row>
      <xdr:rowOff>128587</xdr:rowOff>
    </xdr:from>
    <xdr:to>
      <xdr:col>23</xdr:col>
      <xdr:colOff>342900</xdr:colOff>
      <xdr:row>18</xdr:row>
      <xdr:rowOff>109537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70494</xdr:colOff>
          <xdr:row>0</xdr:row>
          <xdr:rowOff>240468</xdr:rowOff>
        </xdr:from>
        <xdr:to>
          <xdr:col>16</xdr:col>
          <xdr:colOff>612321</xdr:colOff>
          <xdr:row>2</xdr:row>
          <xdr:rowOff>938893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HISTÓRICO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S100"/>
  <sheetViews>
    <sheetView zoomScale="80" zoomScaleNormal="80" zoomScaleSheetLayoutView="100" workbookViewId="0">
      <selection sqref="A1:O1"/>
    </sheetView>
  </sheetViews>
  <sheetFormatPr defaultColWidth="9.125" defaultRowHeight="15" x14ac:dyDescent="0.25"/>
  <cols>
    <col min="1" max="1" width="13.625" style="1" bestFit="1" customWidth="1"/>
    <col min="2" max="2" width="13.625" style="1" customWidth="1"/>
    <col min="3" max="3" width="13.125" style="1" customWidth="1"/>
    <col min="4" max="4" width="10.75" style="1" bestFit="1" customWidth="1"/>
    <col min="5" max="5" width="7.375" style="1" customWidth="1"/>
    <col min="6" max="6" width="13.625" style="1" bestFit="1" customWidth="1"/>
    <col min="7" max="7" width="13.125" style="1" customWidth="1"/>
    <col min="8" max="8" width="13.75" style="1" customWidth="1"/>
    <col min="9" max="9" width="13.625" style="1" customWidth="1"/>
    <col min="10" max="10" width="7.375" style="1" customWidth="1"/>
    <col min="11" max="11" width="24.375" style="1" bestFit="1" customWidth="1"/>
    <col min="12" max="12" width="13.625" style="1" bestFit="1" customWidth="1"/>
    <col min="13" max="13" width="12" style="1" bestFit="1" customWidth="1"/>
    <col min="14" max="14" width="8.75" style="1" customWidth="1"/>
    <col min="15" max="15" width="5.75" style="1" customWidth="1"/>
    <col min="16" max="16384" width="9.125" style="1"/>
  </cols>
  <sheetData>
    <row r="1" spans="1:19" ht="16.5" thickBot="1" x14ac:dyDescent="0.3">
      <c r="A1" s="32" t="s">
        <v>29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4"/>
    </row>
    <row r="2" spans="1:19" s="16" customFormat="1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</row>
    <row r="3" spans="1:19" ht="15.75" x14ac:dyDescent="0.25">
      <c r="A3" s="39" t="s">
        <v>4</v>
      </c>
      <c r="B3" s="39"/>
      <c r="C3" s="39"/>
      <c r="D3" s="3">
        <v>3</v>
      </c>
      <c r="E3" s="15"/>
      <c r="F3" s="15"/>
      <c r="G3" s="15"/>
      <c r="H3" s="15"/>
      <c r="I3" s="15"/>
      <c r="J3" s="19"/>
      <c r="K3" s="35" t="s">
        <v>5</v>
      </c>
      <c r="L3" s="36"/>
      <c r="M3" s="36"/>
      <c r="N3" s="37"/>
      <c r="O3" s="1">
        <v>10</v>
      </c>
    </row>
    <row r="4" spans="1:19" ht="15.75" x14ac:dyDescent="0.25">
      <c r="A4" s="39" t="s">
        <v>2</v>
      </c>
      <c r="B4" s="39"/>
      <c r="C4" s="39"/>
      <c r="D4" s="4">
        <v>60</v>
      </c>
      <c r="E4" s="15"/>
      <c r="F4" s="15"/>
      <c r="G4" s="15"/>
      <c r="H4" s="15"/>
      <c r="I4" s="15"/>
      <c r="J4" s="15"/>
      <c r="K4" s="24"/>
      <c r="L4" s="15"/>
      <c r="M4" s="16"/>
      <c r="N4" s="16"/>
      <c r="O4" s="16"/>
      <c r="R4" s="6"/>
      <c r="S4" s="6"/>
    </row>
    <row r="5" spans="1:19" s="16" customFormat="1" ht="15.75" x14ac:dyDescent="0.25">
      <c r="K5" s="28" t="s">
        <v>6</v>
      </c>
      <c r="L5" s="16">
        <v>30</v>
      </c>
      <c r="R5" s="17"/>
      <c r="S5" s="17"/>
    </row>
    <row r="6" spans="1:19" ht="15.75" x14ac:dyDescent="0.25">
      <c r="A6" s="38" t="s">
        <v>0</v>
      </c>
      <c r="B6" s="39" t="s">
        <v>1</v>
      </c>
      <c r="C6" s="39"/>
      <c r="D6" s="39"/>
      <c r="E6" s="16"/>
      <c r="F6" s="38" t="s">
        <v>0</v>
      </c>
      <c r="G6" s="39" t="s">
        <v>3</v>
      </c>
      <c r="H6" s="39"/>
      <c r="I6" s="39"/>
      <c r="J6" s="16"/>
      <c r="K6" s="28" t="s">
        <v>7</v>
      </c>
      <c r="L6" s="7">
        <v>40</v>
      </c>
      <c r="M6" s="16"/>
      <c r="N6" s="16"/>
      <c r="O6" s="16"/>
      <c r="R6" s="6"/>
      <c r="S6" s="6"/>
    </row>
    <row r="7" spans="1:19" ht="15.75" x14ac:dyDescent="0.25">
      <c r="A7" s="38"/>
      <c r="B7" s="14" t="s">
        <v>61</v>
      </c>
      <c r="C7" s="14" t="s">
        <v>62</v>
      </c>
      <c r="D7" s="14" t="s">
        <v>63</v>
      </c>
      <c r="E7" s="16"/>
      <c r="F7" s="38"/>
      <c r="G7" s="14" t="s">
        <v>61</v>
      </c>
      <c r="H7" s="14" t="s">
        <v>62</v>
      </c>
      <c r="I7" s="14" t="s">
        <v>63</v>
      </c>
      <c r="J7" s="16"/>
      <c r="K7" s="28" t="s">
        <v>8</v>
      </c>
      <c r="L7" s="7">
        <v>50</v>
      </c>
      <c r="M7" s="16"/>
      <c r="N7" s="16"/>
      <c r="O7" s="16"/>
      <c r="R7" s="6"/>
      <c r="S7" s="6"/>
    </row>
    <row r="8" spans="1:19" ht="15.75" x14ac:dyDescent="0.25">
      <c r="A8" s="14">
        <v>0</v>
      </c>
      <c r="B8" s="14">
        <v>350</v>
      </c>
      <c r="C8" s="14">
        <v>350</v>
      </c>
      <c r="D8" s="14">
        <v>350</v>
      </c>
      <c r="E8" s="16"/>
      <c r="F8" s="14">
        <v>0</v>
      </c>
      <c r="G8" s="14">
        <v>0</v>
      </c>
      <c r="H8" s="14">
        <v>0</v>
      </c>
      <c r="I8" s="14">
        <v>0</v>
      </c>
      <c r="J8" s="16"/>
      <c r="K8" s="28" t="s">
        <v>9</v>
      </c>
      <c r="L8" s="7">
        <v>55</v>
      </c>
      <c r="M8" s="16"/>
      <c r="N8" s="16"/>
      <c r="O8" s="16"/>
      <c r="R8" s="6"/>
      <c r="S8" s="6"/>
    </row>
    <row r="9" spans="1:19" ht="15.75" x14ac:dyDescent="0.25">
      <c r="A9" s="8">
        <v>10</v>
      </c>
      <c r="B9" s="14">
        <v>255</v>
      </c>
      <c r="C9" s="14">
        <v>266</v>
      </c>
      <c r="D9" s="14">
        <v>273</v>
      </c>
      <c r="E9" s="16"/>
      <c r="F9" s="14">
        <v>10</v>
      </c>
      <c r="G9" s="14">
        <v>27.14</v>
      </c>
      <c r="H9" s="14">
        <v>24</v>
      </c>
      <c r="I9" s="14">
        <v>22</v>
      </c>
      <c r="J9" s="16"/>
      <c r="K9" s="28" t="s">
        <v>10</v>
      </c>
      <c r="L9" s="7">
        <v>60</v>
      </c>
      <c r="M9" s="16"/>
      <c r="N9" s="16"/>
      <c r="O9" s="16"/>
      <c r="R9" s="6"/>
      <c r="S9" s="6"/>
    </row>
    <row r="10" spans="1:19" ht="15.75" x14ac:dyDescent="0.25">
      <c r="A10" s="8">
        <v>20</v>
      </c>
      <c r="B10" s="14">
        <v>220</v>
      </c>
      <c r="C10" s="14">
        <v>241</v>
      </c>
      <c r="D10" s="14">
        <v>245</v>
      </c>
      <c r="E10" s="16"/>
      <c r="F10" s="14">
        <v>20</v>
      </c>
      <c r="G10" s="14">
        <v>37.14</v>
      </c>
      <c r="H10" s="14">
        <v>31.14</v>
      </c>
      <c r="I10" s="14">
        <v>30</v>
      </c>
      <c r="J10" s="16"/>
      <c r="K10" s="28" t="s">
        <v>11</v>
      </c>
      <c r="L10" s="7">
        <v>65</v>
      </c>
      <c r="M10" s="16"/>
      <c r="N10" s="16"/>
      <c r="O10" s="16"/>
      <c r="R10" s="6"/>
      <c r="S10" s="6"/>
    </row>
    <row r="11" spans="1:19" ht="15.75" x14ac:dyDescent="0.25">
      <c r="A11" s="8">
        <v>30</v>
      </c>
      <c r="B11" s="14">
        <v>143</v>
      </c>
      <c r="C11" s="14">
        <v>192</v>
      </c>
      <c r="D11" s="14">
        <v>217</v>
      </c>
      <c r="E11" s="16"/>
      <c r="F11" s="14">
        <v>30</v>
      </c>
      <c r="G11" s="14">
        <v>59.14</v>
      </c>
      <c r="H11" s="14">
        <v>45.14</v>
      </c>
      <c r="I11" s="14">
        <v>38</v>
      </c>
      <c r="J11" s="16"/>
      <c r="K11" s="28" t="s">
        <v>12</v>
      </c>
      <c r="L11" s="7">
        <v>70</v>
      </c>
      <c r="M11" s="16"/>
      <c r="N11" s="16"/>
      <c r="O11" s="16"/>
    </row>
    <row r="12" spans="1:19" ht="15.75" x14ac:dyDescent="0.25">
      <c r="A12" s="8">
        <v>40</v>
      </c>
      <c r="B12" s="14">
        <v>122</v>
      </c>
      <c r="C12" s="14">
        <v>164</v>
      </c>
      <c r="D12" s="14">
        <v>168</v>
      </c>
      <c r="E12" s="16"/>
      <c r="F12" s="14">
        <v>40</v>
      </c>
      <c r="G12" s="14">
        <v>65.14</v>
      </c>
      <c r="H12" s="14">
        <v>53.14</v>
      </c>
      <c r="I12" s="14">
        <v>52</v>
      </c>
      <c r="J12" s="16"/>
      <c r="K12" s="28" t="s">
        <v>13</v>
      </c>
      <c r="L12" s="7">
        <v>75</v>
      </c>
      <c r="M12" s="16"/>
      <c r="N12" s="16"/>
      <c r="O12" s="16"/>
    </row>
    <row r="13" spans="1:19" ht="15.75" x14ac:dyDescent="0.25">
      <c r="A13" s="8">
        <v>50</v>
      </c>
      <c r="B13" s="14">
        <v>70</v>
      </c>
      <c r="C13" s="14">
        <v>105</v>
      </c>
      <c r="D13" s="14">
        <v>136</v>
      </c>
      <c r="E13" s="16"/>
      <c r="F13" s="14">
        <v>50</v>
      </c>
      <c r="G13" s="14">
        <v>80</v>
      </c>
      <c r="H13" s="14">
        <v>70</v>
      </c>
      <c r="I13" s="14">
        <v>61.14</v>
      </c>
      <c r="J13" s="16"/>
      <c r="K13" s="28" t="s">
        <v>14</v>
      </c>
      <c r="L13" s="7">
        <v>85</v>
      </c>
      <c r="M13" s="16"/>
      <c r="N13" s="16"/>
      <c r="O13" s="16"/>
    </row>
    <row r="14" spans="1:19" ht="15.75" x14ac:dyDescent="0.25">
      <c r="A14" s="8">
        <v>60</v>
      </c>
      <c r="B14" s="14">
        <v>38</v>
      </c>
      <c r="C14" s="14">
        <v>77</v>
      </c>
      <c r="D14" s="14">
        <v>91</v>
      </c>
      <c r="E14" s="16"/>
      <c r="F14" s="14">
        <v>60</v>
      </c>
      <c r="G14" s="14">
        <v>89.14</v>
      </c>
      <c r="H14" s="14">
        <v>78</v>
      </c>
      <c r="I14" s="14">
        <v>74</v>
      </c>
      <c r="J14" s="16"/>
      <c r="K14" s="28" t="s">
        <v>15</v>
      </c>
      <c r="L14" s="1">
        <v>88</v>
      </c>
      <c r="M14" s="16"/>
      <c r="N14" s="16"/>
      <c r="O14" s="16"/>
      <c r="R14" s="9"/>
      <c r="S14" s="9"/>
    </row>
    <row r="15" spans="1:19" s="16" customFormat="1" x14ac:dyDescent="0.25">
      <c r="A15" s="8">
        <v>70</v>
      </c>
      <c r="B15" s="14">
        <v>28</v>
      </c>
      <c r="C15" s="14">
        <v>49</v>
      </c>
      <c r="D15" s="14">
        <v>66</v>
      </c>
      <c r="F15" s="14">
        <v>70</v>
      </c>
      <c r="G15" s="14">
        <v>92</v>
      </c>
      <c r="H15" s="14">
        <v>86</v>
      </c>
      <c r="I15" s="14">
        <v>81.14</v>
      </c>
      <c r="L15" s="20"/>
      <c r="R15" s="21"/>
      <c r="S15" s="22"/>
    </row>
    <row r="16" spans="1:19" ht="15.75" x14ac:dyDescent="0.25">
      <c r="A16" s="8">
        <v>80</v>
      </c>
      <c r="B16" s="14">
        <v>0</v>
      </c>
      <c r="C16" s="14">
        <v>31</v>
      </c>
      <c r="D16" s="14">
        <v>42</v>
      </c>
      <c r="E16" s="16"/>
      <c r="F16" s="14">
        <v>80</v>
      </c>
      <c r="G16" s="14">
        <v>100</v>
      </c>
      <c r="H16" s="14">
        <v>91.14</v>
      </c>
      <c r="I16" s="14">
        <v>88</v>
      </c>
      <c r="J16" s="16"/>
      <c r="K16" s="29" t="s">
        <v>26</v>
      </c>
      <c r="L16" s="30" t="s">
        <v>0</v>
      </c>
      <c r="M16" s="29" t="s">
        <v>28</v>
      </c>
      <c r="N16" s="30" t="s">
        <v>27</v>
      </c>
      <c r="O16" s="12"/>
      <c r="P16" s="12"/>
      <c r="R16" s="9"/>
      <c r="S16" s="9"/>
    </row>
    <row r="17" spans="1:19" x14ac:dyDescent="0.25">
      <c r="A17" s="8"/>
      <c r="B17" s="14"/>
      <c r="C17" s="14"/>
      <c r="D17" s="14"/>
      <c r="E17" s="16"/>
      <c r="F17" s="14"/>
      <c r="G17" s="14"/>
      <c r="H17" s="14"/>
      <c r="I17" s="14"/>
      <c r="J17" s="16"/>
      <c r="K17" s="14">
        <v>30</v>
      </c>
      <c r="L17" s="11">
        <v>20</v>
      </c>
      <c r="M17" s="14">
        <v>9</v>
      </c>
      <c r="N17" s="14">
        <v>39.352823849035133</v>
      </c>
      <c r="O17" s="12"/>
      <c r="P17" s="12"/>
      <c r="R17" s="9"/>
      <c r="S17" s="9"/>
    </row>
    <row r="18" spans="1:19" x14ac:dyDescent="0.25">
      <c r="A18" s="14"/>
      <c r="B18" s="14"/>
      <c r="C18" s="14"/>
      <c r="D18" s="14"/>
      <c r="E18" s="16"/>
      <c r="F18" s="14"/>
      <c r="G18" s="14"/>
      <c r="H18" s="14"/>
      <c r="I18" s="14"/>
      <c r="J18" s="16"/>
      <c r="K18" s="14">
        <v>40</v>
      </c>
      <c r="L18" s="11">
        <v>31.428599999999999</v>
      </c>
      <c r="M18" s="14">
        <v>5.7272675206658903</v>
      </c>
      <c r="N18" s="14">
        <v>48.554677680110217</v>
      </c>
      <c r="O18" s="12"/>
      <c r="P18" s="12"/>
    </row>
    <row r="19" spans="1:19" x14ac:dyDescent="0.25">
      <c r="A19" s="14"/>
      <c r="B19" s="14"/>
      <c r="C19" s="14"/>
      <c r="D19" s="14"/>
      <c r="E19" s="16"/>
      <c r="F19" s="14"/>
      <c r="G19" s="14"/>
      <c r="H19" s="14"/>
      <c r="I19" s="14"/>
      <c r="J19" s="16"/>
      <c r="K19" s="14">
        <v>50</v>
      </c>
      <c r="L19" s="11">
        <v>38.571399999999997</v>
      </c>
      <c r="M19" s="14">
        <v>4.6666701234593511</v>
      </c>
      <c r="N19" s="14">
        <v>56.304919133112023</v>
      </c>
      <c r="O19" s="12"/>
      <c r="P19" s="12"/>
    </row>
    <row r="20" spans="1:19" x14ac:dyDescent="0.25">
      <c r="A20" s="14"/>
      <c r="B20" s="14"/>
      <c r="C20" s="14"/>
      <c r="D20" s="14"/>
      <c r="E20" s="16"/>
      <c r="F20" s="14"/>
      <c r="G20" s="14"/>
      <c r="H20" s="14"/>
      <c r="I20" s="14"/>
      <c r="J20" s="16"/>
      <c r="K20" s="14">
        <v>55</v>
      </c>
      <c r="L20" s="11">
        <v>43.282299999999999</v>
      </c>
      <c r="M20" s="14">
        <v>4.1587438745168352</v>
      </c>
      <c r="N20" s="14">
        <v>61.643135791907973</v>
      </c>
      <c r="O20" s="12"/>
      <c r="P20" s="12"/>
    </row>
    <row r="21" spans="1:19" x14ac:dyDescent="0.25">
      <c r="A21" s="5"/>
      <c r="B21" s="5"/>
      <c r="C21" s="5"/>
      <c r="D21" s="5"/>
      <c r="E21" s="18"/>
      <c r="F21" s="5"/>
      <c r="G21" s="5"/>
      <c r="H21" s="5"/>
      <c r="I21" s="5"/>
      <c r="J21" s="16"/>
      <c r="K21" s="14">
        <v>60</v>
      </c>
      <c r="L21" s="11">
        <v>48.752699999999997</v>
      </c>
      <c r="M21" s="14">
        <v>3.6921032065916353</v>
      </c>
      <c r="N21" s="14">
        <v>67.130265621113892</v>
      </c>
      <c r="O21" s="12"/>
      <c r="P21" s="12"/>
    </row>
    <row r="22" spans="1:19" x14ac:dyDescent="0.25">
      <c r="A22" s="5"/>
      <c r="B22" s="5"/>
      <c r="C22" s="5"/>
      <c r="D22" s="5"/>
      <c r="E22" s="18"/>
      <c r="F22" s="5"/>
      <c r="G22" s="5"/>
      <c r="H22" s="5"/>
      <c r="J22" s="16"/>
      <c r="K22" s="14">
        <v>65</v>
      </c>
      <c r="L22" s="14">
        <v>53.001600000000003</v>
      </c>
      <c r="M22" s="14">
        <v>3.396123890599529</v>
      </c>
      <c r="N22" s="14">
        <v>72.868051722383669</v>
      </c>
    </row>
    <row r="23" spans="1:19" x14ac:dyDescent="0.25">
      <c r="A23" s="5"/>
      <c r="B23" s="5"/>
      <c r="C23" s="5"/>
      <c r="D23" s="12"/>
      <c r="F23" s="5"/>
      <c r="G23" s="12"/>
      <c r="H23" s="31"/>
      <c r="I23" s="5"/>
      <c r="J23" s="16"/>
      <c r="K23" s="14">
        <v>70</v>
      </c>
      <c r="L23" s="14">
        <v>56.889600000000002</v>
      </c>
      <c r="M23" s="14">
        <v>3.1640229497131287</v>
      </c>
      <c r="N23" s="14">
        <v>78.859278338036461</v>
      </c>
      <c r="O23" s="9"/>
      <c r="P23" s="9"/>
    </row>
    <row r="24" spans="1:19" x14ac:dyDescent="0.25">
      <c r="A24" s="5"/>
      <c r="B24" s="5"/>
      <c r="C24" s="12"/>
      <c r="D24" s="12"/>
      <c r="F24" s="5"/>
      <c r="G24" s="12"/>
      <c r="H24" s="31"/>
      <c r="I24" s="5"/>
      <c r="J24" s="16"/>
      <c r="K24" s="11">
        <v>75</v>
      </c>
      <c r="L24" s="11">
        <v>61.400599999999997</v>
      </c>
      <c r="M24" s="11">
        <v>2.9315674439663457</v>
      </c>
      <c r="N24" s="11">
        <v>85.224869810845263</v>
      </c>
      <c r="O24" s="10"/>
      <c r="P24" s="10"/>
    </row>
    <row r="25" spans="1:19" x14ac:dyDescent="0.25">
      <c r="A25" s="5"/>
      <c r="B25" s="5"/>
      <c r="C25" s="12"/>
      <c r="D25" s="12"/>
      <c r="F25" s="5"/>
      <c r="G25" s="12"/>
      <c r="H25" s="31"/>
      <c r="I25" s="5"/>
      <c r="J25" s="16"/>
      <c r="K25" s="14">
        <v>85</v>
      </c>
      <c r="L25" s="14">
        <v>75.626800000000003</v>
      </c>
      <c r="M25" s="14">
        <v>2.3801086387365324</v>
      </c>
      <c r="N25" s="14">
        <v>94.738372548078814</v>
      </c>
      <c r="O25" s="9"/>
      <c r="P25" s="9"/>
    </row>
    <row r="26" spans="1:19" x14ac:dyDescent="0.25">
      <c r="A26" s="5"/>
      <c r="B26" s="5"/>
      <c r="C26" s="12"/>
      <c r="D26" s="12"/>
      <c r="F26" s="5"/>
      <c r="G26" s="12"/>
      <c r="H26" s="31"/>
      <c r="I26" s="5"/>
      <c r="J26" s="16"/>
      <c r="K26" s="14">
        <v>88</v>
      </c>
      <c r="L26" s="14">
        <v>80</v>
      </c>
      <c r="M26" s="14">
        <v>2.25</v>
      </c>
      <c r="N26" s="14">
        <v>100</v>
      </c>
      <c r="O26" s="9"/>
      <c r="P26" s="9"/>
    </row>
    <row r="27" spans="1:19" x14ac:dyDescent="0.25">
      <c r="A27" s="5"/>
      <c r="B27" s="5"/>
      <c r="C27" s="12"/>
      <c r="D27" s="12"/>
      <c r="F27" s="5"/>
      <c r="G27" s="12"/>
      <c r="H27" s="31"/>
      <c r="I27" s="5"/>
      <c r="J27" s="16"/>
      <c r="K27" s="5"/>
      <c r="L27" s="5"/>
      <c r="M27" s="5"/>
      <c r="N27" s="5"/>
      <c r="O27" s="9"/>
      <c r="P27" s="9"/>
    </row>
    <row r="28" spans="1:19" x14ac:dyDescent="0.25">
      <c r="A28" s="5"/>
      <c r="B28" s="5"/>
      <c r="C28" s="12"/>
      <c r="D28" s="12"/>
      <c r="F28" s="5"/>
      <c r="G28" s="12"/>
      <c r="H28" s="31"/>
      <c r="I28" s="5"/>
      <c r="J28" s="16"/>
      <c r="K28" s="5"/>
      <c r="L28" s="5"/>
      <c r="M28" s="5"/>
      <c r="N28" s="5"/>
      <c r="O28" s="9"/>
      <c r="P28" s="9"/>
    </row>
    <row r="29" spans="1:19" x14ac:dyDescent="0.25">
      <c r="A29" s="5"/>
      <c r="B29" s="5"/>
      <c r="C29" s="12"/>
      <c r="D29" s="5"/>
      <c r="E29" s="18"/>
      <c r="F29" s="5"/>
      <c r="G29" s="5"/>
      <c r="H29" s="5"/>
      <c r="I29" s="5"/>
      <c r="J29" s="16"/>
      <c r="K29" s="9"/>
      <c r="L29" s="9"/>
      <c r="M29" s="9"/>
      <c r="N29" s="9"/>
      <c r="O29" s="9"/>
      <c r="P29" s="9"/>
    </row>
    <row r="30" spans="1:19" x14ac:dyDescent="0.25">
      <c r="A30" s="5"/>
      <c r="B30" s="5"/>
      <c r="C30" s="5"/>
      <c r="D30" s="5"/>
      <c r="E30" s="18"/>
      <c r="F30" s="5"/>
      <c r="G30" s="5"/>
      <c r="H30" s="5"/>
      <c r="I30" s="5"/>
      <c r="J30" s="16"/>
      <c r="K30" s="9"/>
      <c r="L30" s="9"/>
      <c r="M30" s="9"/>
      <c r="N30" s="9"/>
      <c r="O30" s="9"/>
      <c r="P30" s="9"/>
    </row>
    <row r="31" spans="1:19" x14ac:dyDescent="0.25">
      <c r="A31" s="5"/>
      <c r="B31" s="5"/>
      <c r="C31" s="5"/>
      <c r="D31" s="5"/>
      <c r="E31" s="18"/>
      <c r="F31" s="5"/>
      <c r="G31" s="5"/>
      <c r="H31" s="5"/>
      <c r="I31" s="5"/>
      <c r="J31" s="16"/>
      <c r="K31" s="9"/>
      <c r="L31" s="9"/>
      <c r="M31" s="9"/>
      <c r="N31" s="9"/>
      <c r="O31" s="9"/>
      <c r="P31" s="9"/>
    </row>
    <row r="32" spans="1:19" x14ac:dyDescent="0.25">
      <c r="A32" s="5"/>
      <c r="B32" s="5"/>
      <c r="C32" s="5"/>
      <c r="D32" s="5"/>
      <c r="E32" s="18"/>
      <c r="F32" s="5"/>
      <c r="G32" s="5"/>
      <c r="H32" s="5"/>
      <c r="I32" s="5"/>
      <c r="J32" s="16"/>
    </row>
    <row r="33" spans="1:10" x14ac:dyDescent="0.25">
      <c r="A33" s="2"/>
      <c r="B33" s="2"/>
      <c r="C33" s="2"/>
      <c r="D33" s="2"/>
      <c r="E33" s="16"/>
      <c r="G33" s="5"/>
      <c r="H33" s="5"/>
      <c r="I33" s="5"/>
      <c r="J33" s="16"/>
    </row>
    <row r="34" spans="1:10" x14ac:dyDescent="0.25">
      <c r="A34" s="2"/>
      <c r="B34" s="2"/>
      <c r="C34" s="2"/>
      <c r="D34" s="2"/>
      <c r="E34" s="16"/>
      <c r="G34" s="5"/>
      <c r="H34" s="5"/>
      <c r="I34" s="5"/>
      <c r="J34" s="16"/>
    </row>
    <row r="35" spans="1:10" x14ac:dyDescent="0.25">
      <c r="A35" s="2"/>
      <c r="B35" s="2"/>
      <c r="C35" s="2"/>
      <c r="D35" s="2"/>
      <c r="E35" s="16"/>
      <c r="G35" s="5"/>
      <c r="H35" s="5"/>
      <c r="I35" s="5"/>
      <c r="J35" s="16"/>
    </row>
    <row r="36" spans="1:10" x14ac:dyDescent="0.25">
      <c r="A36" s="2"/>
      <c r="B36" s="2"/>
      <c r="C36" s="2"/>
      <c r="D36" s="2"/>
      <c r="E36" s="16"/>
      <c r="G36" s="5"/>
      <c r="H36" s="5"/>
      <c r="I36" s="5"/>
      <c r="J36" s="16"/>
    </row>
    <row r="37" spans="1:10" x14ac:dyDescent="0.25">
      <c r="A37" s="2"/>
      <c r="B37" s="2"/>
      <c r="C37" s="2"/>
      <c r="D37" s="2"/>
      <c r="E37" s="16"/>
      <c r="G37" s="5"/>
      <c r="H37" s="5"/>
      <c r="I37" s="5"/>
      <c r="J37" s="16"/>
    </row>
    <row r="38" spans="1:10" x14ac:dyDescent="0.25">
      <c r="A38" s="2"/>
      <c r="B38" s="2"/>
      <c r="C38" s="2"/>
      <c r="D38" s="2"/>
      <c r="E38" s="16"/>
      <c r="G38" s="5"/>
      <c r="H38" s="5"/>
      <c r="I38" s="5"/>
      <c r="J38" s="16"/>
    </row>
    <row r="39" spans="1:10" x14ac:dyDescent="0.25">
      <c r="A39" s="2"/>
      <c r="B39" s="2"/>
      <c r="C39" s="2"/>
      <c r="D39" s="2"/>
      <c r="E39" s="16"/>
      <c r="G39" s="13"/>
      <c r="H39" s="5"/>
      <c r="I39" s="5"/>
      <c r="J39" s="16"/>
    </row>
    <row r="40" spans="1:10" x14ac:dyDescent="0.25">
      <c r="A40" s="2"/>
      <c r="B40" s="2"/>
      <c r="C40" s="2"/>
      <c r="D40" s="2"/>
      <c r="E40" s="16"/>
      <c r="G40" s="5"/>
      <c r="H40" s="5"/>
      <c r="I40" s="5"/>
      <c r="J40" s="16"/>
    </row>
    <row r="41" spans="1:10" x14ac:dyDescent="0.25">
      <c r="A41" s="2"/>
      <c r="B41" s="2"/>
      <c r="C41" s="2"/>
      <c r="D41" s="2"/>
      <c r="E41" s="16"/>
      <c r="G41" s="5"/>
      <c r="H41" s="5"/>
      <c r="I41" s="5"/>
      <c r="J41" s="16"/>
    </row>
    <row r="42" spans="1:10" x14ac:dyDescent="0.25">
      <c r="A42" s="2"/>
      <c r="B42" s="2"/>
      <c r="C42" s="2"/>
      <c r="D42" s="2"/>
      <c r="E42" s="16"/>
      <c r="G42" s="5"/>
      <c r="H42" s="5"/>
      <c r="J42" s="16"/>
    </row>
    <row r="43" spans="1:10" x14ac:dyDescent="0.25">
      <c r="A43" s="2"/>
      <c r="B43" s="2"/>
      <c r="C43" s="2"/>
      <c r="D43" s="2"/>
      <c r="E43" s="16"/>
      <c r="G43" s="5"/>
      <c r="H43" s="5"/>
      <c r="J43" s="16"/>
    </row>
    <row r="44" spans="1:10" x14ac:dyDescent="0.25">
      <c r="A44" s="2"/>
      <c r="B44" s="2"/>
      <c r="C44" s="2"/>
      <c r="D44" s="2"/>
      <c r="E44" s="16"/>
      <c r="G44" s="5"/>
      <c r="H44" s="5"/>
      <c r="J44" s="16"/>
    </row>
    <row r="45" spans="1:10" x14ac:dyDescent="0.25">
      <c r="A45" s="2"/>
      <c r="B45" s="2"/>
      <c r="C45" s="2"/>
      <c r="D45" s="2"/>
      <c r="E45" s="16"/>
      <c r="G45" s="5"/>
      <c r="H45" s="5"/>
      <c r="J45" s="16"/>
    </row>
    <row r="46" spans="1:10" x14ac:dyDescent="0.25">
      <c r="A46" s="2"/>
      <c r="B46" s="2"/>
      <c r="C46" s="2"/>
      <c r="D46" s="2"/>
      <c r="E46" s="16"/>
      <c r="J46" s="16"/>
    </row>
    <row r="47" spans="1:10" x14ac:dyDescent="0.25">
      <c r="A47" s="2"/>
      <c r="B47" s="2"/>
      <c r="C47" s="2"/>
      <c r="D47" s="2"/>
      <c r="E47" s="16"/>
      <c r="J47" s="16"/>
    </row>
    <row r="48" spans="1:10" x14ac:dyDescent="0.25">
      <c r="A48" s="2"/>
      <c r="B48" s="2"/>
      <c r="C48" s="2"/>
      <c r="D48" s="2"/>
      <c r="E48" s="16"/>
      <c r="J48" s="16"/>
    </row>
    <row r="49" spans="1:10" x14ac:dyDescent="0.25">
      <c r="A49" s="2"/>
      <c r="B49" s="2"/>
      <c r="C49" s="2"/>
      <c r="D49" s="2"/>
      <c r="E49" s="16"/>
      <c r="J49" s="16"/>
    </row>
    <row r="50" spans="1:10" x14ac:dyDescent="0.25">
      <c r="A50" s="2"/>
      <c r="B50" s="2"/>
      <c r="C50" s="2"/>
      <c r="D50" s="2"/>
      <c r="E50" s="16"/>
      <c r="J50" s="16"/>
    </row>
    <row r="51" spans="1:10" x14ac:dyDescent="0.25">
      <c r="A51" s="2"/>
      <c r="B51" s="2"/>
      <c r="C51" s="2"/>
      <c r="D51" s="2"/>
      <c r="E51" s="16"/>
      <c r="J51" s="16"/>
    </row>
    <row r="52" spans="1:10" x14ac:dyDescent="0.25">
      <c r="A52" s="2"/>
      <c r="B52" s="2"/>
      <c r="C52" s="2"/>
      <c r="D52" s="2"/>
      <c r="E52" s="16"/>
      <c r="J52" s="16"/>
    </row>
    <row r="53" spans="1:10" x14ac:dyDescent="0.25">
      <c r="A53" s="2"/>
      <c r="B53" s="2"/>
      <c r="C53" s="2"/>
      <c r="D53" s="2"/>
      <c r="E53" s="16"/>
      <c r="J53" s="16"/>
    </row>
    <row r="54" spans="1:10" x14ac:dyDescent="0.25">
      <c r="A54" s="2"/>
      <c r="B54" s="2"/>
      <c r="C54" s="2"/>
      <c r="D54" s="2"/>
      <c r="E54" s="16"/>
      <c r="J54" s="16"/>
    </row>
    <row r="55" spans="1:10" x14ac:dyDescent="0.25">
      <c r="A55" s="2"/>
      <c r="B55" s="2"/>
      <c r="C55" s="2"/>
      <c r="D55" s="2"/>
      <c r="E55" s="16"/>
      <c r="J55" s="16"/>
    </row>
    <row r="56" spans="1:10" x14ac:dyDescent="0.25">
      <c r="A56" s="2"/>
      <c r="B56" s="2"/>
      <c r="C56" s="2"/>
      <c r="D56" s="2"/>
      <c r="E56" s="16"/>
      <c r="J56" s="16"/>
    </row>
    <row r="57" spans="1:10" x14ac:dyDescent="0.25">
      <c r="A57" s="2"/>
      <c r="B57" s="2"/>
      <c r="C57" s="2"/>
      <c r="D57" s="2"/>
      <c r="E57" s="16"/>
      <c r="J57" s="16"/>
    </row>
    <row r="58" spans="1:10" x14ac:dyDescent="0.25">
      <c r="A58" s="2"/>
      <c r="B58" s="2"/>
      <c r="C58" s="2"/>
      <c r="D58" s="2"/>
      <c r="E58" s="16"/>
      <c r="J58" s="16"/>
    </row>
    <row r="59" spans="1:10" x14ac:dyDescent="0.25">
      <c r="A59" s="2"/>
      <c r="B59" s="2"/>
      <c r="C59" s="2"/>
      <c r="D59" s="2"/>
      <c r="E59" s="16"/>
      <c r="J59" s="16"/>
    </row>
    <row r="60" spans="1:10" x14ac:dyDescent="0.25">
      <c r="A60" s="2"/>
      <c r="B60" s="2"/>
      <c r="C60" s="2"/>
      <c r="D60" s="2"/>
      <c r="E60" s="16"/>
      <c r="J60" s="16"/>
    </row>
    <row r="61" spans="1:10" x14ac:dyDescent="0.25">
      <c r="A61" s="2"/>
      <c r="B61" s="2"/>
      <c r="C61" s="2"/>
      <c r="D61" s="2"/>
      <c r="E61" s="16"/>
      <c r="J61" s="16"/>
    </row>
    <row r="62" spans="1:10" x14ac:dyDescent="0.25">
      <c r="A62" s="2"/>
      <c r="B62" s="2"/>
      <c r="C62" s="2"/>
      <c r="D62" s="2"/>
      <c r="E62" s="16"/>
      <c r="J62" s="16"/>
    </row>
    <row r="63" spans="1:10" x14ac:dyDescent="0.25">
      <c r="A63" s="2"/>
      <c r="B63" s="2"/>
      <c r="C63" s="2"/>
      <c r="D63" s="2"/>
      <c r="E63" s="16"/>
      <c r="J63" s="16"/>
    </row>
    <row r="64" spans="1:10" x14ac:dyDescent="0.25">
      <c r="A64" s="2"/>
      <c r="B64" s="2"/>
      <c r="C64" s="2"/>
      <c r="D64" s="2"/>
      <c r="E64" s="16"/>
      <c r="J64" s="16"/>
    </row>
    <row r="65" spans="1:10" x14ac:dyDescent="0.25">
      <c r="A65" s="2"/>
      <c r="B65" s="2"/>
      <c r="C65" s="2"/>
      <c r="D65" s="2"/>
      <c r="E65" s="16"/>
      <c r="J65" s="16"/>
    </row>
    <row r="66" spans="1:10" x14ac:dyDescent="0.25">
      <c r="A66" s="2"/>
      <c r="B66" s="2"/>
      <c r="C66" s="2"/>
      <c r="D66" s="2"/>
      <c r="E66" s="16"/>
      <c r="J66" s="16"/>
    </row>
    <row r="67" spans="1:10" x14ac:dyDescent="0.25">
      <c r="A67" s="2"/>
      <c r="B67" s="2"/>
      <c r="C67" s="2"/>
      <c r="D67" s="2"/>
      <c r="E67" s="16"/>
      <c r="J67" s="16"/>
    </row>
    <row r="68" spans="1:10" x14ac:dyDescent="0.25">
      <c r="A68" s="2"/>
      <c r="B68" s="2"/>
      <c r="C68" s="2"/>
      <c r="D68" s="2"/>
      <c r="E68" s="16"/>
      <c r="J68" s="16"/>
    </row>
    <row r="69" spans="1:10" x14ac:dyDescent="0.25">
      <c r="A69" s="2"/>
      <c r="B69" s="2"/>
      <c r="C69" s="2"/>
      <c r="D69" s="2"/>
      <c r="E69" s="16"/>
      <c r="J69" s="16"/>
    </row>
    <row r="70" spans="1:10" x14ac:dyDescent="0.25">
      <c r="A70" s="2"/>
      <c r="B70" s="2"/>
      <c r="C70" s="2"/>
      <c r="D70" s="2"/>
      <c r="E70" s="16"/>
      <c r="J70" s="16"/>
    </row>
    <row r="71" spans="1:10" x14ac:dyDescent="0.25">
      <c r="A71" s="2"/>
      <c r="B71" s="2"/>
      <c r="C71" s="2"/>
      <c r="D71" s="2"/>
      <c r="E71" s="16"/>
      <c r="J71" s="16"/>
    </row>
    <row r="72" spans="1:10" x14ac:dyDescent="0.25">
      <c r="A72" s="2"/>
      <c r="B72" s="2"/>
      <c r="C72" s="2"/>
      <c r="D72" s="2"/>
      <c r="E72" s="16"/>
      <c r="J72" s="16"/>
    </row>
    <row r="73" spans="1:10" x14ac:dyDescent="0.25">
      <c r="A73" s="2"/>
      <c r="B73" s="2"/>
      <c r="C73" s="2"/>
      <c r="D73" s="2"/>
      <c r="E73" s="16"/>
      <c r="J73" s="16"/>
    </row>
    <row r="74" spans="1:10" x14ac:dyDescent="0.25">
      <c r="A74" s="2"/>
      <c r="B74" s="2"/>
      <c r="C74" s="2"/>
      <c r="D74" s="2"/>
      <c r="E74" s="16"/>
      <c r="J74" s="16"/>
    </row>
    <row r="75" spans="1:10" x14ac:dyDescent="0.25">
      <c r="A75" s="2"/>
      <c r="B75" s="2"/>
      <c r="C75" s="2"/>
      <c r="D75" s="2"/>
      <c r="E75" s="16"/>
      <c r="J75" s="16"/>
    </row>
    <row r="76" spans="1:10" x14ac:dyDescent="0.25">
      <c r="A76" s="2"/>
      <c r="B76" s="2"/>
      <c r="C76" s="2"/>
      <c r="D76" s="2"/>
      <c r="E76" s="16"/>
      <c r="J76" s="16"/>
    </row>
    <row r="77" spans="1:10" x14ac:dyDescent="0.25">
      <c r="A77" s="2"/>
      <c r="B77" s="2"/>
      <c r="C77" s="2"/>
      <c r="D77" s="2"/>
      <c r="E77" s="16"/>
      <c r="J77" s="16"/>
    </row>
    <row r="78" spans="1:10" x14ac:dyDescent="0.25">
      <c r="A78" s="2"/>
      <c r="B78" s="2"/>
      <c r="C78" s="2"/>
      <c r="D78" s="2"/>
      <c r="E78" s="16"/>
      <c r="J78" s="16"/>
    </row>
    <row r="79" spans="1:10" x14ac:dyDescent="0.25">
      <c r="A79" s="2"/>
      <c r="B79" s="2"/>
      <c r="C79" s="2"/>
      <c r="D79" s="2"/>
      <c r="E79" s="16"/>
      <c r="J79" s="16"/>
    </row>
    <row r="80" spans="1:10" x14ac:dyDescent="0.25">
      <c r="A80" s="2"/>
      <c r="B80" s="2"/>
      <c r="C80" s="2"/>
      <c r="D80" s="2"/>
      <c r="E80" s="16"/>
      <c r="J80" s="16"/>
    </row>
    <row r="81" spans="1:10" x14ac:dyDescent="0.25">
      <c r="A81" s="2"/>
      <c r="B81" s="2"/>
      <c r="C81" s="2"/>
      <c r="D81" s="2"/>
      <c r="E81" s="16"/>
      <c r="J81" s="16"/>
    </row>
    <row r="82" spans="1:10" x14ac:dyDescent="0.25">
      <c r="A82" s="2"/>
      <c r="B82" s="2"/>
      <c r="C82" s="2"/>
      <c r="D82" s="2"/>
      <c r="E82" s="16"/>
      <c r="J82" s="16"/>
    </row>
    <row r="83" spans="1:10" x14ac:dyDescent="0.25">
      <c r="A83" s="2"/>
      <c r="B83" s="2"/>
      <c r="C83" s="2"/>
      <c r="D83" s="2"/>
      <c r="E83" s="16"/>
      <c r="J83" s="16"/>
    </row>
    <row r="84" spans="1:10" x14ac:dyDescent="0.25">
      <c r="A84" s="2"/>
      <c r="B84" s="2"/>
      <c r="C84" s="2"/>
      <c r="D84" s="2"/>
      <c r="E84" s="16"/>
      <c r="J84" s="16"/>
    </row>
    <row r="85" spans="1:10" x14ac:dyDescent="0.25">
      <c r="A85" s="2"/>
      <c r="B85" s="2"/>
      <c r="C85" s="2"/>
      <c r="D85" s="2"/>
      <c r="E85" s="16"/>
      <c r="J85" s="16"/>
    </row>
    <row r="86" spans="1:10" x14ac:dyDescent="0.25">
      <c r="A86" s="2"/>
      <c r="B86" s="2"/>
      <c r="C86" s="2"/>
      <c r="D86" s="2"/>
      <c r="E86" s="16"/>
      <c r="J86" s="16"/>
    </row>
    <row r="87" spans="1:10" x14ac:dyDescent="0.25">
      <c r="A87" s="2"/>
      <c r="B87" s="2"/>
      <c r="C87" s="2"/>
      <c r="D87" s="2"/>
      <c r="E87" s="16"/>
      <c r="J87" s="16"/>
    </row>
    <row r="88" spans="1:10" x14ac:dyDescent="0.25">
      <c r="A88" s="2"/>
      <c r="B88" s="2"/>
      <c r="C88" s="2"/>
      <c r="D88" s="2"/>
      <c r="E88" s="16"/>
      <c r="J88" s="16"/>
    </row>
    <row r="89" spans="1:10" x14ac:dyDescent="0.25">
      <c r="E89" s="16"/>
      <c r="J89" s="16"/>
    </row>
    <row r="90" spans="1:10" x14ac:dyDescent="0.25">
      <c r="E90" s="16"/>
      <c r="J90" s="16"/>
    </row>
    <row r="91" spans="1:10" x14ac:dyDescent="0.25">
      <c r="E91" s="16"/>
      <c r="J91" s="16"/>
    </row>
    <row r="92" spans="1:10" x14ac:dyDescent="0.25">
      <c r="E92" s="16"/>
      <c r="J92" s="16"/>
    </row>
    <row r="93" spans="1:10" x14ac:dyDescent="0.25">
      <c r="E93" s="16"/>
      <c r="J93" s="16"/>
    </row>
    <row r="94" spans="1:10" x14ac:dyDescent="0.25">
      <c r="E94" s="16"/>
      <c r="J94" s="16"/>
    </row>
    <row r="95" spans="1:10" x14ac:dyDescent="0.25">
      <c r="E95" s="16"/>
      <c r="J95" s="16"/>
    </row>
    <row r="96" spans="1:10" x14ac:dyDescent="0.25">
      <c r="E96" s="16"/>
      <c r="J96" s="16"/>
    </row>
    <row r="97" spans="5:10" x14ac:dyDescent="0.25">
      <c r="E97" s="16"/>
      <c r="J97" s="16"/>
    </row>
    <row r="98" spans="5:10" x14ac:dyDescent="0.25">
      <c r="E98" s="16"/>
      <c r="J98" s="16"/>
    </row>
    <row r="99" spans="5:10" x14ac:dyDescent="0.25">
      <c r="E99" s="16"/>
      <c r="J99" s="16"/>
    </row>
    <row r="100" spans="5:10" x14ac:dyDescent="0.25">
      <c r="E100" s="16"/>
      <c r="J100" s="16"/>
    </row>
  </sheetData>
  <sheetProtection formatCells="0" selectLockedCells="1" sort="0" autoFilter="0"/>
  <sortState ref="L5:L14">
    <sortCondition ref="L5"/>
  </sortState>
  <mergeCells count="8">
    <mergeCell ref="A1:O1"/>
    <mergeCell ref="K3:N3"/>
    <mergeCell ref="A6:A7"/>
    <mergeCell ref="B6:D6"/>
    <mergeCell ref="A3:C3"/>
    <mergeCell ref="A4:C4"/>
    <mergeCell ref="F6:F7"/>
    <mergeCell ref="G6:I6"/>
  </mergeCells>
  <dataValidations count="1">
    <dataValidation type="list" allowBlank="1" showInputMessage="1" showErrorMessage="1" sqref="O3">
      <formula1>"6,7,8,9,10"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locked="0" defaultSize="0" print="0" autoFill="0" autoPict="0" macro="[0]!ensaio_sedimentacao">
                <anchor moveWithCells="1" sizeWithCells="1">
                  <from>
                    <xdr:col>12</xdr:col>
                    <xdr:colOff>447675</xdr:colOff>
                    <xdr:row>7</xdr:row>
                    <xdr:rowOff>0</xdr:rowOff>
                  </from>
                  <to>
                    <xdr:col>15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C18"/>
  <sheetViews>
    <sheetView zoomScale="115" zoomScaleNormal="115" workbookViewId="0">
      <selection activeCell="B18" sqref="B18"/>
    </sheetView>
  </sheetViews>
  <sheetFormatPr defaultColWidth="9.125" defaultRowHeight="15" x14ac:dyDescent="0.25"/>
  <cols>
    <col min="1" max="3" width="9.125" style="1"/>
    <col min="4" max="4" width="10.375" style="1" customWidth="1"/>
    <col min="5" max="5" width="11.75" style="1" bestFit="1" customWidth="1"/>
    <col min="6" max="6" width="13.25" style="1" bestFit="1" customWidth="1"/>
    <col min="7" max="7" width="12" style="1" bestFit="1" customWidth="1"/>
    <col min="8" max="14" width="13.25" style="1" bestFit="1" customWidth="1"/>
    <col min="15" max="15" width="11.25" style="1" bestFit="1" customWidth="1"/>
    <col min="16" max="16384" width="9.125" style="1"/>
  </cols>
  <sheetData>
    <row r="1" spans="1:29" x14ac:dyDescent="0.25">
      <c r="A1" s="1" t="s">
        <v>45</v>
      </c>
      <c r="D1" s="1" t="s">
        <v>46</v>
      </c>
      <c r="G1" s="1" t="s">
        <v>18</v>
      </c>
      <c r="J1" s="1" t="s">
        <v>79</v>
      </c>
      <c r="M1" s="1" t="s">
        <v>19</v>
      </c>
      <c r="P1" s="1" t="s">
        <v>73</v>
      </c>
      <c r="S1" s="1" t="s">
        <v>20</v>
      </c>
      <c r="V1" s="1" t="s">
        <v>67</v>
      </c>
      <c r="Y1" s="1" t="s">
        <v>21</v>
      </c>
      <c r="AB1" s="1" t="s">
        <v>52</v>
      </c>
    </row>
    <row r="2" spans="1:29" x14ac:dyDescent="0.25">
      <c r="A2" s="1" t="s">
        <v>16</v>
      </c>
      <c r="B2" s="1" t="s">
        <v>17</v>
      </c>
      <c r="D2" s="1" t="s">
        <v>16</v>
      </c>
      <c r="E2" s="1" t="s">
        <v>17</v>
      </c>
      <c r="G2" s="1" t="s">
        <v>16</v>
      </c>
      <c r="H2" s="1" t="s">
        <v>17</v>
      </c>
      <c r="J2" s="1" t="s">
        <v>16</v>
      </c>
      <c r="K2" s="1" t="s">
        <v>17</v>
      </c>
      <c r="M2" s="1" t="s">
        <v>16</v>
      </c>
      <c r="N2" s="1" t="s">
        <v>17</v>
      </c>
      <c r="P2" s="1" t="s">
        <v>16</v>
      </c>
      <c r="Q2" s="1" t="s">
        <v>17</v>
      </c>
      <c r="S2" s="1" t="s">
        <v>16</v>
      </c>
      <c r="T2" s="1" t="s">
        <v>17</v>
      </c>
      <c r="V2" s="1" t="s">
        <v>16</v>
      </c>
      <c r="W2" s="1" t="s">
        <v>17</v>
      </c>
      <c r="Y2" s="1" t="s">
        <v>16</v>
      </c>
      <c r="Z2" s="1" t="s">
        <v>17</v>
      </c>
      <c r="AB2" s="1" t="s">
        <v>16</v>
      </c>
      <c r="AC2" s="1" t="s">
        <v>17</v>
      </c>
    </row>
    <row r="3" spans="1:29" x14ac:dyDescent="0.25">
      <c r="A3" s="1">
        <v>0</v>
      </c>
      <c r="B3" s="1">
        <v>90</v>
      </c>
      <c r="D3" s="1">
        <v>0</v>
      </c>
      <c r="E3" s="1">
        <v>90</v>
      </c>
      <c r="G3" s="1">
        <v>0</v>
      </c>
      <c r="H3" s="1">
        <v>90</v>
      </c>
      <c r="J3" s="1">
        <v>0</v>
      </c>
      <c r="K3" s="1">
        <v>90</v>
      </c>
      <c r="M3" s="1">
        <v>0</v>
      </c>
      <c r="N3" s="1">
        <v>90</v>
      </c>
      <c r="P3" s="1">
        <v>0</v>
      </c>
      <c r="Q3" s="1">
        <v>90</v>
      </c>
      <c r="S3" s="1">
        <v>0</v>
      </c>
      <c r="T3" s="1">
        <v>90</v>
      </c>
      <c r="V3" s="1">
        <v>0</v>
      </c>
      <c r="W3" s="1">
        <v>90</v>
      </c>
      <c r="Y3" s="1">
        <v>0</v>
      </c>
      <c r="Z3" s="1">
        <v>90</v>
      </c>
      <c r="AB3" s="1">
        <v>0</v>
      </c>
      <c r="AC3" s="1">
        <v>90</v>
      </c>
    </row>
    <row r="4" spans="1:29" x14ac:dyDescent="0.25">
      <c r="A4" s="1">
        <v>12.86</v>
      </c>
      <c r="B4" s="1">
        <v>60</v>
      </c>
      <c r="D4" s="1">
        <v>21.3</v>
      </c>
      <c r="E4" s="1">
        <v>60</v>
      </c>
      <c r="G4" s="1">
        <v>25.845500000000001</v>
      </c>
      <c r="H4" s="1">
        <v>60</v>
      </c>
      <c r="J4" s="1">
        <v>28.118200000000002</v>
      </c>
      <c r="K4" s="1">
        <v>60</v>
      </c>
      <c r="M4" s="1">
        <v>31.433299999999999</v>
      </c>
      <c r="N4" s="1">
        <v>60</v>
      </c>
      <c r="P4" s="1">
        <v>39.7667</v>
      </c>
      <c r="Q4" s="1">
        <v>60</v>
      </c>
      <c r="S4" s="1">
        <v>43.270499999999998</v>
      </c>
      <c r="T4" s="1">
        <v>60</v>
      </c>
      <c r="V4" s="1">
        <v>46.635300000000001</v>
      </c>
      <c r="W4" s="1">
        <v>60</v>
      </c>
      <c r="Y4" s="1">
        <v>55.470500000000001</v>
      </c>
      <c r="Z4" s="1">
        <v>60</v>
      </c>
      <c r="AB4" s="1">
        <v>58.752699999999997</v>
      </c>
      <c r="AC4" s="1">
        <v>60</v>
      </c>
    </row>
    <row r="5" spans="1:29" x14ac:dyDescent="0.25">
      <c r="A5" s="1">
        <v>18.403400000000001</v>
      </c>
      <c r="B5" s="1">
        <v>30</v>
      </c>
      <c r="D5" s="1">
        <v>26.328600000000002</v>
      </c>
      <c r="E5" s="1">
        <v>30</v>
      </c>
      <c r="G5" s="1">
        <v>36.075000000000003</v>
      </c>
      <c r="H5" s="1">
        <v>30</v>
      </c>
      <c r="J5" s="1">
        <v>41.103200000000001</v>
      </c>
      <c r="K5" s="1">
        <v>30</v>
      </c>
      <c r="M5" s="1">
        <v>44.068800000000003</v>
      </c>
      <c r="N5" s="1">
        <v>30</v>
      </c>
      <c r="P5" s="1">
        <v>47.034399999999998</v>
      </c>
      <c r="Q5" s="1">
        <v>30</v>
      </c>
      <c r="S5" s="1">
        <v>50</v>
      </c>
      <c r="T5" s="1">
        <v>30</v>
      </c>
      <c r="V5" s="1">
        <v>56.25</v>
      </c>
      <c r="W5" s="1">
        <v>30</v>
      </c>
      <c r="Y5" s="1">
        <v>68.75</v>
      </c>
      <c r="Z5" s="1">
        <v>30</v>
      </c>
      <c r="AB5" s="1">
        <v>73.891099999999994</v>
      </c>
      <c r="AC5" s="1">
        <v>30</v>
      </c>
    </row>
    <row r="6" spans="1:29" x14ac:dyDescent="0.25">
      <c r="A6" s="1">
        <v>20</v>
      </c>
      <c r="B6" s="1">
        <v>0</v>
      </c>
      <c r="D6" s="1">
        <v>31.428599999999999</v>
      </c>
      <c r="E6" s="1">
        <v>0</v>
      </c>
      <c r="G6" s="1">
        <v>38.571399999999997</v>
      </c>
      <c r="H6" s="1">
        <v>0</v>
      </c>
      <c r="J6" s="1">
        <v>43.282299999999999</v>
      </c>
      <c r="K6" s="1">
        <v>0</v>
      </c>
      <c r="M6" s="1">
        <v>48.752699999999997</v>
      </c>
      <c r="N6" s="1">
        <v>0</v>
      </c>
      <c r="P6" s="1">
        <v>53.001600000000003</v>
      </c>
      <c r="Q6" s="1">
        <v>0</v>
      </c>
      <c r="S6" s="1">
        <v>56.889600000000002</v>
      </c>
      <c r="T6" s="1">
        <v>0</v>
      </c>
      <c r="V6" s="1">
        <v>61.400599999999997</v>
      </c>
      <c r="W6" s="1">
        <v>0</v>
      </c>
      <c r="Y6" s="1">
        <v>75.626800000000003</v>
      </c>
      <c r="Z6" s="1">
        <v>0</v>
      </c>
      <c r="AB6" s="1">
        <v>80</v>
      </c>
      <c r="AC6" s="1">
        <v>0</v>
      </c>
    </row>
    <row r="7" spans="1:29" x14ac:dyDescent="0.25">
      <c r="A7" s="1">
        <v>30</v>
      </c>
    </row>
    <row r="8" spans="1:29" x14ac:dyDescent="0.25">
      <c r="A8" s="12" t="s">
        <v>47</v>
      </c>
      <c r="B8" s="1">
        <v>39.352823849035133</v>
      </c>
      <c r="C8" s="23"/>
      <c r="F8" s="1" t="s">
        <v>64</v>
      </c>
      <c r="G8" s="1" t="s">
        <v>65</v>
      </c>
      <c r="H8" s="1" t="s">
        <v>53</v>
      </c>
      <c r="I8" s="1" t="s">
        <v>82</v>
      </c>
      <c r="J8" s="1" t="s">
        <v>54</v>
      </c>
      <c r="K8" s="1" t="s">
        <v>76</v>
      </c>
      <c r="L8" s="1" t="s">
        <v>55</v>
      </c>
      <c r="M8" s="1" t="s">
        <v>70</v>
      </c>
      <c r="N8" s="1" t="s">
        <v>56</v>
      </c>
      <c r="O8" s="1" t="s">
        <v>59</v>
      </c>
    </row>
    <row r="9" spans="1:29" x14ac:dyDescent="0.25">
      <c r="A9" s="12" t="s">
        <v>49</v>
      </c>
      <c r="B9" s="1">
        <v>48.554677680110217</v>
      </c>
      <c r="E9" s="16" t="s">
        <v>48</v>
      </c>
      <c r="F9" s="1">
        <f>(_xll.SRS1Splines.Functions25.OneWay_Spline(D3:D6,E3:E6,A6))/A7</f>
        <v>2.1183407172298265</v>
      </c>
    </row>
    <row r="10" spans="1:29" x14ac:dyDescent="0.25">
      <c r="A10" s="12" t="s">
        <v>22</v>
      </c>
      <c r="B10" s="1">
        <v>56.304919133112023</v>
      </c>
      <c r="E10" s="16" t="s">
        <v>50</v>
      </c>
      <c r="F10" s="1">
        <f>(((_xll.SRS1Splines.Functions25.OneWay_Spline(G3:G6,H3:H6,A6))/A7) - F9)</f>
        <v>0.2828478070058833</v>
      </c>
      <c r="G10" s="1">
        <f>(_xll.SRS1Splines.Functions25.OneWay_Spline(G3:G6,H3:H6,D6))/A7</f>
        <v>1.6129852546227832</v>
      </c>
    </row>
    <row r="11" spans="1:29" x14ac:dyDescent="0.25">
      <c r="A11" s="12" t="s">
        <v>81</v>
      </c>
      <c r="B11" s="1">
        <v>61.643135791907973</v>
      </c>
      <c r="E11" s="16" t="s">
        <v>80</v>
      </c>
      <c r="F11" s="1">
        <f>(((_xll.SRS1Splines.Functions25.OneWay_Spline(J3:J6,K3:K6,A6))/A7) - (F10 + F9))</f>
        <v>5.1253547084333384E-2</v>
      </c>
      <c r="G11" s="1">
        <f>(((_xll.SRS1Splines.Functions25.OneWay_Spline(J3:J6,K3:K6,D6))/A7) - G10)</f>
        <v>0.20456117633701698</v>
      </c>
      <c r="H11" s="1">
        <f>(_xll.SRS1Splines.Functions25.OneWay_Spline(J3:J6,K3:K6,G6))/A7</f>
        <v>1.32654007548843</v>
      </c>
    </row>
    <row r="12" spans="1:29" x14ac:dyDescent="0.25">
      <c r="A12" s="12" t="s">
        <v>23</v>
      </c>
      <c r="B12" s="1">
        <v>67.130265621113892</v>
      </c>
      <c r="E12" s="16" t="s">
        <v>83</v>
      </c>
      <c r="F12" s="1">
        <f>(((_xll.SRS1Splines.Functions25.OneWay_Spline(M3:M6,N3:N6,A6))/A7) - (F11 + F10 + F9))</f>
        <v>0.14272107924645372</v>
      </c>
      <c r="G12" s="1">
        <f>(((_xll.SRS1Splines.Functions25.OneWay_Spline(M3:M6,N3:N6,D6))/A7) - (G11+G10))</f>
        <v>0.18275259259935983</v>
      </c>
      <c r="H12" s="1">
        <f>(((_xll.SRS1Splines.Functions25.OneWay_Spline(M3:M6,N3:N6,G6))/A7) - H11)</f>
        <v>0.26834945358967666</v>
      </c>
      <c r="I12" s="1">
        <f>(_xll.SRS1Splines.Functions25.OneWay_Spline(M3:M6,N3:N6,J6))/A7</f>
        <v>1.1176950316718102</v>
      </c>
    </row>
    <row r="13" spans="1:29" x14ac:dyDescent="0.25">
      <c r="A13" s="12" t="s">
        <v>75</v>
      </c>
      <c r="B13" s="1">
        <v>72.868051722383669</v>
      </c>
      <c r="E13" s="16" t="s">
        <v>74</v>
      </c>
      <c r="F13" s="1">
        <f>(((_xll.SRS1Splines.Functions25.OneWay_Spline(P3:P6,Q3:Q6,A6))/A7) - (F12 + F11 + F10 + F9))</f>
        <v>0.15189488602427303</v>
      </c>
      <c r="G13" s="1">
        <f>(((_xll.SRS1Splines.Functions25.OneWay_Spline(P3:P6,Q3:Q6,D6))/A7) - (G12 + G11+ G10))</f>
        <v>0.3750880535883101</v>
      </c>
      <c r="H13" s="1">
        <f>(((_xll.SRS1Splines.Functions25.OneWay_Spline(P3:P6,Q3:Q6,G6))/A7) - (H12+H11))</f>
        <v>0.46432262322746021</v>
      </c>
      <c r="I13" s="1">
        <f>(((_xll.SRS1Splines.Functions25.OneWay_Spline(P3:P6,Q3:Q6,J6))/A7) - I12)</f>
        <v>0.49483779629819646</v>
      </c>
      <c r="J13" s="1">
        <f>(_xll.SRS1Splines.Functions25.OneWay_Spline(P3:P6,Q3:Q6,M6))/A7</f>
        <v>0.72858486426339664</v>
      </c>
    </row>
    <row r="14" spans="1:29" x14ac:dyDescent="0.25">
      <c r="A14" s="1" t="s">
        <v>24</v>
      </c>
      <c r="B14" s="1">
        <v>78.859278338036461</v>
      </c>
      <c r="E14" s="16" t="s">
        <v>77</v>
      </c>
      <c r="F14" s="1">
        <f>(((_xll.SRS1Splines.Functions25.OneWay_Spline(S3:S6,T3:T6,A6))/A7) - (F13 + F12 + F11 + F10 + F9))</f>
        <v>3.9305114238819883E-2</v>
      </c>
      <c r="G14" s="1">
        <f>(((_xll.SRS1Splines.Functions25.OneWay_Spline(S3:S6,T3:T6,D6))/A7) - (G13 + G12 + G11 + G10))</f>
        <v>9.7059744286252858E-2</v>
      </c>
      <c r="H14" s="1">
        <f>(((_xll.SRS1Splines.Functions25.OneWay_Spline(S3:S6,T3:T6,G6))/A7) - (H13 + H12 + H11))</f>
        <v>0.1461907440336363</v>
      </c>
      <c r="I14" s="1">
        <f>(((_xll.SRS1Splines.Functions25.OneWay_Spline(S3:S6,T3:T6,J6))/A7) - (I13 + I12))</f>
        <v>0.38691749765018013</v>
      </c>
      <c r="J14" s="1">
        <f>(((_xll.SRS1Splines.Functions25.OneWay_Spline(S3:S6,T3:T6,M6))/A7) - (J13))</f>
        <v>0.4746322840224334</v>
      </c>
      <c r="K14" s="1">
        <f>(((_xll.SRS1Splines.Functions25.OneWay_Spline(S3:S6,T3:T6,P6))/A7))</f>
        <v>0.56136984193882666</v>
      </c>
    </row>
    <row r="15" spans="1:29" x14ac:dyDescent="0.25">
      <c r="A15" s="1" t="s">
        <v>69</v>
      </c>
      <c r="B15" s="1">
        <v>85.224869810845263</v>
      </c>
      <c r="E15" s="16" t="s">
        <v>68</v>
      </c>
      <c r="F15" s="1">
        <f>(((_xll.SRS1Splines.Functions25.OneWay_Spline(V3:V6,W3:W6,A6))/A7) - (F14 + F13 + F12 + F11 + F10 + F9))</f>
        <v>2.9716221000573473E-2</v>
      </c>
      <c r="G15" s="1">
        <f>(((_xll.SRS1Splines.Functions25.OneWay_Spline(V3:V6,W3:W6,D6))/A7) - (G14 + G13 + G12 + G11 + G10))</f>
        <v>7.3381005686547152E-2</v>
      </c>
      <c r="H15" s="1">
        <f>(((_xll.SRS1Splines.Functions25.OneWay_Spline(V3:V6,W3:W6,G6))/A7) - (H14 + H13 + H12 + H11))</f>
        <v>0.11052598477504993</v>
      </c>
      <c r="I15" s="1">
        <f>(((_xll.SRS1Splines.Functions25.OneWay_Spline(V3:V6,W3:W6,J6))/A7) - (I14 + I13 + I12))</f>
        <v>0.13917695699839294</v>
      </c>
      <c r="J15" s="1">
        <f>(((_xll.SRS1Splines.Functions25.OneWay_Spline(V3:V6,W3:W6,M6))/A7) - (J14 + J13))</f>
        <v>0.67659419393613995</v>
      </c>
      <c r="K15" s="1">
        <f>(((_xll.SRS1Splines.Functions25.OneWay_Spline(V3:V6,W3:W6,P6))/A7) - (K14))</f>
        <v>0.90450466204929314</v>
      </c>
      <c r="L15" s="1">
        <f>(((_xll.SRS1Splines.Functions25.OneWay_Spline(V3:V6,W3:W6,S6))/A7))</f>
        <v>0.89343515944509666</v>
      </c>
    </row>
    <row r="16" spans="1:29" x14ac:dyDescent="0.25">
      <c r="A16" s="1" t="s">
        <v>25</v>
      </c>
      <c r="B16" s="1">
        <v>94.738372548078814</v>
      </c>
      <c r="E16" s="1" t="s">
        <v>71</v>
      </c>
      <c r="F16" s="1">
        <f>(((_xll.SRS1Splines.Functions25.OneWay_Spline(Y3:Y6,Z3:Z6,A6))/A7) - (F15 + F14 + F13 + F12 + F11 + F10 + F9))</f>
        <v>5.3922879773899979E-2</v>
      </c>
      <c r="G16" s="1">
        <f>(((_xll.SRS1Splines.Functions25.OneWay_Spline(Y3:Y6,Z3:Z6,D6))/A7) - (G15 + G14 + G13 + G12 + G11 + G10))</f>
        <v>0.13315674113634346</v>
      </c>
      <c r="H16" s="1">
        <f>(((_xll.SRS1Splines.Functions25.OneWay_Spline(Y3:Y6,Z3:Z6,G6))/A7) - (H15 + H14 + H13 + H12 + H11))</f>
        <v>0.20055980162492393</v>
      </c>
      <c r="I16" s="1">
        <f>(((_xll.SRS1Splines.Functions25.OneWay_Spline(Y3:Y6,Z3:Z6,J6))/A7) - (I15 + I14 + I13 + I12))</f>
        <v>0.25254207721053357</v>
      </c>
      <c r="J16" s="1">
        <f>(((_xll.SRS1Splines.Functions25.OneWay_Spline(Y3:Y6,Z3:Z6,M6))/A7) - (J15 + J14 + J13))</f>
        <v>0.34773366583511667</v>
      </c>
      <c r="K16" s="1">
        <f>(((_xll.SRS1Splines.Functions25.OneWay_Spline(Y3:Y6,Z3:Z6,P6))/A7) - (K15 + K14))</f>
        <v>0.62116118802411369</v>
      </c>
      <c r="L16" s="1">
        <f>(((_xll.SRS1Splines.Functions25.OneWay_Spline(Y3:Y6,Z3:Z6,S6))/A7) - (L15))</f>
        <v>1.0503871956583668</v>
      </c>
      <c r="M16" s="1">
        <f>(((_xll.SRS1Splines.Functions25.OneWay_Spline(Y3:Y6,Z3:Z6,V6))/A7))</f>
        <v>1.6924280038792867</v>
      </c>
    </row>
    <row r="17" spans="1:15" x14ac:dyDescent="0.25">
      <c r="A17" s="1" t="s">
        <v>58</v>
      </c>
      <c r="B17" s="1">
        <v>100</v>
      </c>
      <c r="E17" s="1" t="s">
        <v>57</v>
      </c>
      <c r="F17" s="1">
        <f>(((_xll.SRS1Splines.Functions25.OneWay_Spline(AB3:AB6,AC3:AC6,A6))/A7) - (F16 + F15 + F14 + F13 + F12 + F11 + F10 + F9))</f>
        <v>1.41188568571331E-2</v>
      </c>
      <c r="G17" s="12">
        <f>(((_xll.SRS1Splines.Functions25.OneWay_Spline(AB3:AB6,AC3:AC6,D6))/A7) - (G16 + G15 + G14 + G13 + G12 + G11 + G10))</f>
        <v>3.4864995629856566E-2</v>
      </c>
      <c r="H17" s="12">
        <f>(((_xll.SRS1Splines.Functions25.OneWay_Spline(AB3:AB6,AC3:AC6,G6))/A7) - (H16 + H15 + H14 + H13 + H12 + H11))</f>
        <v>5.2513425512703105E-2</v>
      </c>
      <c r="I17" s="12">
        <f>(((_xll.SRS1Splines.Functions25.OneWay_Spline(AB3:AB6,AC3:AC6,J6))/A7) - (I16 + I15 + I14 + I13 + I12))</f>
        <v>6.6124165724993578E-2</v>
      </c>
      <c r="J17" s="12">
        <f>(((_xll.SRS1Splines.Functions25.OneWay_Spline(AB3:AB6,AC3:AC6,M6))/A7) - (J16 + J15 + J14 + J13))</f>
        <v>8.3895156603806864E-2</v>
      </c>
      <c r="K17" s="1">
        <f>(((_xll.SRS1Splines.Functions25.OneWay_Spline(AB3:AB6,AC3:AC6,P6))/A7) - (K16 + K15 + K14))</f>
        <v>9.9155658764880084E-2</v>
      </c>
      <c r="L17" s="1">
        <f>(((_xll.SRS1Splines.Functions25.OneWay_Spline(AB3:AB6,AC3:AC6,S6))/A7) - (L16 + L15))</f>
        <v>0.11859383093980336</v>
      </c>
      <c r="M17" s="1">
        <f>(((_xll.SRS1Splines.Functions25.OneWay_Spline(AB3:AB6,AC3:AC6,V6))/A7) - (M16))</f>
        <v>0.21561495107840667</v>
      </c>
      <c r="N17" s="1">
        <f>(((_xll.SRS1Splines.Functions25.OneWay_Spline(AB3:AB6,AC3:AC6,Y6))/A7))</f>
        <v>0.75387581730705999</v>
      </c>
    </row>
    <row r="18" spans="1:15" x14ac:dyDescent="0.25">
      <c r="E18" s="1" t="s">
        <v>60</v>
      </c>
      <c r="F18" s="1">
        <v>0.1158788915388036</v>
      </c>
      <c r="G18" s="1">
        <v>0.28615043611352986</v>
      </c>
      <c r="H18" s="1">
        <v>0.43099789174811987</v>
      </c>
      <c r="I18" s="1">
        <v>0.54270647444589315</v>
      </c>
      <c r="J18" s="1">
        <v>0.68855983533910647</v>
      </c>
      <c r="K18" s="1">
        <v>0.81380864922288643</v>
      </c>
      <c r="L18" s="1">
        <v>0.93758381395673318</v>
      </c>
      <c r="M18" s="1">
        <v>1.0919570450423066</v>
      </c>
      <c r="N18" s="1">
        <v>2.2461241826929399</v>
      </c>
      <c r="O18" s="1">
        <v>3</v>
      </c>
    </row>
  </sheetData>
  <sheetProtection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TV15"/>
  <sheetViews>
    <sheetView zoomScale="55" zoomScaleNormal="55" workbookViewId="0">
      <selection activeCell="I29" sqref="I29"/>
    </sheetView>
  </sheetViews>
  <sheetFormatPr defaultColWidth="9.125" defaultRowHeight="15" x14ac:dyDescent="0.25"/>
  <cols>
    <col min="1" max="2" width="9.125" style="1" customWidth="1"/>
    <col min="3" max="15" width="9.125" style="1"/>
    <col min="16" max="19" width="9.125" style="1" customWidth="1"/>
    <col min="20" max="16384" width="9.125" style="1"/>
  </cols>
  <sheetData>
    <row r="1" spans="1:542" ht="18.75" x14ac:dyDescent="0.3">
      <c r="A1" s="40" t="s">
        <v>30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2"/>
      <c r="M1" s="43"/>
      <c r="N1" s="43"/>
      <c r="O1" s="43"/>
      <c r="P1" s="43"/>
      <c r="Q1" s="43"/>
      <c r="R1" s="43"/>
      <c r="S1" s="43"/>
      <c r="T1" s="43"/>
    </row>
    <row r="3" spans="1:542" s="45" customFormat="1" ht="15.75" x14ac:dyDescent="0.25">
      <c r="A3" s="44" t="s">
        <v>28</v>
      </c>
      <c r="B3" s="44" t="s">
        <v>31</v>
      </c>
      <c r="G3" s="46"/>
      <c r="K3" s="44" t="s">
        <v>28</v>
      </c>
      <c r="L3" s="44" t="s">
        <v>31</v>
      </c>
      <c r="R3" s="44" t="s">
        <v>28</v>
      </c>
      <c r="S3" s="44" t="s">
        <v>31</v>
      </c>
    </row>
    <row r="4" spans="1:542" s="45" customFormat="1" ht="15.75" x14ac:dyDescent="0.25">
      <c r="A4" s="45">
        <v>9</v>
      </c>
      <c r="B4" s="45">
        <v>39.352823849035133</v>
      </c>
      <c r="G4" s="47"/>
      <c r="K4" s="46">
        <v>7.8545454545454554</v>
      </c>
      <c r="L4" s="46">
        <v>35.602960858798838</v>
      </c>
      <c r="R4" s="46">
        <v>9</v>
      </c>
      <c r="S4" s="46">
        <v>39.35282384903536</v>
      </c>
    </row>
    <row r="5" spans="1:542" s="45" customFormat="1" ht="15.75" x14ac:dyDescent="0.25">
      <c r="A5" s="45">
        <v>5.7272675206658903</v>
      </c>
      <c r="B5" s="45">
        <v>48.554677680110217</v>
      </c>
      <c r="G5" s="46"/>
      <c r="K5" s="46">
        <v>4.1142857142857148</v>
      </c>
      <c r="L5" s="46">
        <v>31.392004466874496</v>
      </c>
      <c r="R5" s="46">
        <v>5.7272675206658903</v>
      </c>
      <c r="S5" s="46">
        <v>39.152801874605075</v>
      </c>
    </row>
    <row r="6" spans="1:542" s="45" customFormat="1" ht="15.75" x14ac:dyDescent="0.25">
      <c r="A6" s="45">
        <v>4.6666701234593511</v>
      </c>
      <c r="B6" s="45">
        <v>56.304919133112023</v>
      </c>
      <c r="K6" s="46">
        <v>2.8000020740756106</v>
      </c>
      <c r="L6" s="46">
        <v>56.410279255117885</v>
      </c>
      <c r="R6" s="46">
        <v>4.6666701234593511</v>
      </c>
      <c r="S6" s="46">
        <v>51.043962377394337</v>
      </c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47"/>
      <c r="DI6" s="47"/>
      <c r="DJ6" s="47"/>
      <c r="DK6" s="47"/>
      <c r="DL6" s="47"/>
      <c r="DM6" s="47"/>
      <c r="DN6" s="47"/>
      <c r="DO6" s="47"/>
      <c r="DP6" s="47"/>
      <c r="DQ6" s="47"/>
      <c r="DR6" s="47"/>
      <c r="DS6" s="47"/>
      <c r="DT6" s="47"/>
      <c r="DU6" s="47"/>
      <c r="DV6" s="47"/>
      <c r="DW6" s="47"/>
      <c r="DX6" s="47"/>
      <c r="DY6" s="47"/>
      <c r="DZ6" s="47"/>
      <c r="EA6" s="47"/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47"/>
      <c r="FC6" s="47"/>
      <c r="FD6" s="47"/>
      <c r="FE6" s="47"/>
      <c r="FF6" s="47"/>
      <c r="FG6" s="47"/>
      <c r="FH6" s="47"/>
      <c r="FI6" s="47"/>
      <c r="FJ6" s="47"/>
      <c r="FK6" s="47"/>
      <c r="FL6" s="47"/>
      <c r="FM6" s="47"/>
      <c r="FN6" s="47"/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47"/>
      <c r="GW6" s="47"/>
      <c r="GX6" s="47"/>
      <c r="GY6" s="47"/>
      <c r="GZ6" s="47"/>
      <c r="HA6" s="47"/>
      <c r="HB6" s="47"/>
      <c r="HC6" s="47"/>
      <c r="HD6" s="47"/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47"/>
      <c r="HX6" s="47"/>
      <c r="HY6" s="47"/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47"/>
      <c r="IQ6" s="47"/>
      <c r="IR6" s="47"/>
      <c r="IS6" s="47"/>
      <c r="IT6" s="47"/>
      <c r="IU6" s="47"/>
      <c r="IV6" s="47"/>
      <c r="IW6" s="47"/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47"/>
      <c r="JN6" s="47"/>
      <c r="JO6" s="47"/>
      <c r="JP6" s="47"/>
      <c r="JQ6" s="47"/>
      <c r="JR6" s="47"/>
      <c r="JS6" s="47"/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47"/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47"/>
      <c r="LD6" s="47"/>
      <c r="LE6" s="47"/>
      <c r="LF6" s="47"/>
      <c r="LG6" s="47"/>
      <c r="LH6" s="47"/>
      <c r="LI6" s="47"/>
      <c r="LJ6" s="47"/>
      <c r="LK6" s="47"/>
      <c r="LL6" s="47"/>
      <c r="LM6" s="47"/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47"/>
      <c r="ME6" s="47"/>
      <c r="MF6" s="47"/>
      <c r="MG6" s="47"/>
      <c r="MH6" s="47"/>
      <c r="MI6" s="47"/>
      <c r="MJ6" s="47"/>
      <c r="MK6" s="47"/>
      <c r="ML6" s="47"/>
      <c r="MM6" s="47"/>
      <c r="MN6" s="47"/>
      <c r="MO6" s="47"/>
      <c r="MP6" s="47"/>
      <c r="MQ6" s="47"/>
      <c r="MR6" s="47"/>
      <c r="MS6" s="47"/>
      <c r="MT6" s="47"/>
      <c r="MU6" s="47"/>
      <c r="MV6" s="47"/>
      <c r="MW6" s="47"/>
      <c r="MX6" s="47"/>
      <c r="MY6" s="47"/>
      <c r="MZ6" s="47"/>
      <c r="NA6" s="47"/>
      <c r="NB6" s="47"/>
      <c r="NC6" s="47"/>
      <c r="ND6" s="47"/>
      <c r="NE6" s="47"/>
      <c r="NF6" s="47"/>
      <c r="NG6" s="47"/>
      <c r="NH6" s="47"/>
      <c r="NI6" s="47"/>
      <c r="NJ6" s="47"/>
      <c r="NK6" s="47"/>
      <c r="NL6" s="47"/>
      <c r="NM6" s="47"/>
      <c r="NN6" s="47"/>
      <c r="NO6" s="47"/>
      <c r="NP6" s="47"/>
      <c r="NQ6" s="47"/>
      <c r="NR6" s="47"/>
      <c r="NS6" s="47"/>
      <c r="NT6" s="47"/>
      <c r="NU6" s="47"/>
      <c r="NV6" s="47"/>
      <c r="NW6" s="47"/>
      <c r="NX6" s="47"/>
      <c r="NY6" s="47"/>
      <c r="NZ6" s="47"/>
      <c r="OA6" s="47"/>
      <c r="OB6" s="47"/>
      <c r="OC6" s="47"/>
      <c r="OD6" s="47"/>
      <c r="OE6" s="47"/>
      <c r="OF6" s="47"/>
      <c r="OG6" s="47"/>
      <c r="OH6" s="47"/>
      <c r="OI6" s="47"/>
      <c r="OJ6" s="47"/>
      <c r="OK6" s="47"/>
      <c r="OL6" s="47"/>
      <c r="OM6" s="47"/>
      <c r="ON6" s="47"/>
      <c r="OO6" s="47"/>
      <c r="OP6" s="47"/>
      <c r="OQ6" s="47"/>
      <c r="OR6" s="47"/>
      <c r="OS6" s="47"/>
      <c r="OT6" s="47"/>
      <c r="OU6" s="47"/>
      <c r="OV6" s="47"/>
      <c r="OW6" s="47"/>
      <c r="OX6" s="47"/>
      <c r="OY6" s="47"/>
      <c r="OZ6" s="47"/>
      <c r="PA6" s="47"/>
      <c r="PB6" s="47"/>
      <c r="PC6" s="47"/>
      <c r="PD6" s="47"/>
      <c r="PE6" s="47"/>
      <c r="PF6" s="47"/>
      <c r="PG6" s="47"/>
      <c r="PH6" s="47"/>
      <c r="PI6" s="47"/>
      <c r="PJ6" s="47"/>
      <c r="PK6" s="47"/>
      <c r="PL6" s="47"/>
      <c r="PM6" s="47"/>
      <c r="PN6" s="47"/>
      <c r="PO6" s="47"/>
      <c r="PP6" s="47"/>
      <c r="PQ6" s="47"/>
      <c r="PR6" s="47"/>
      <c r="PS6" s="47"/>
      <c r="PT6" s="47"/>
      <c r="PU6" s="47"/>
      <c r="PV6" s="47"/>
      <c r="PW6" s="47"/>
      <c r="PX6" s="47"/>
      <c r="PY6" s="47"/>
      <c r="PZ6" s="47"/>
      <c r="QA6" s="47"/>
      <c r="QB6" s="47"/>
      <c r="QC6" s="47"/>
      <c r="QD6" s="47"/>
      <c r="QE6" s="47"/>
      <c r="QF6" s="47"/>
      <c r="QG6" s="47"/>
      <c r="QH6" s="47"/>
      <c r="QI6" s="47"/>
      <c r="QJ6" s="47"/>
      <c r="QK6" s="47"/>
      <c r="QL6" s="47"/>
      <c r="QM6" s="47"/>
      <c r="QN6" s="47"/>
      <c r="QO6" s="47"/>
      <c r="QP6" s="47"/>
      <c r="QQ6" s="47"/>
      <c r="QR6" s="47"/>
      <c r="QS6" s="47"/>
      <c r="QT6" s="47"/>
      <c r="QU6" s="47"/>
      <c r="QV6" s="47"/>
      <c r="QW6" s="47"/>
      <c r="QX6" s="47"/>
      <c r="QY6" s="47"/>
      <c r="QZ6" s="47"/>
      <c r="RA6" s="47"/>
      <c r="RB6" s="47"/>
      <c r="RC6" s="47"/>
      <c r="RD6" s="47"/>
      <c r="RE6" s="47"/>
      <c r="RF6" s="47"/>
      <c r="RG6" s="47"/>
      <c r="RH6" s="47"/>
      <c r="RI6" s="47"/>
      <c r="RJ6" s="47"/>
      <c r="RK6" s="47"/>
      <c r="RL6" s="47"/>
      <c r="RM6" s="47"/>
      <c r="RN6" s="47"/>
      <c r="RO6" s="47"/>
      <c r="RP6" s="47"/>
      <c r="RQ6" s="47"/>
      <c r="RR6" s="47"/>
      <c r="RS6" s="47"/>
      <c r="RT6" s="47"/>
      <c r="RU6" s="47"/>
      <c r="RV6" s="47"/>
      <c r="RW6" s="47"/>
      <c r="RX6" s="47"/>
      <c r="RY6" s="47"/>
      <c r="RZ6" s="47"/>
      <c r="SA6" s="47"/>
      <c r="SB6" s="47"/>
      <c r="SC6" s="47"/>
      <c r="SD6" s="47"/>
      <c r="SE6" s="47"/>
      <c r="SF6" s="47"/>
      <c r="SG6" s="47"/>
      <c r="SH6" s="47"/>
      <c r="SI6" s="47"/>
      <c r="SJ6" s="47"/>
      <c r="SK6" s="47"/>
      <c r="SL6" s="47"/>
      <c r="SM6" s="47"/>
      <c r="SN6" s="47"/>
      <c r="SO6" s="47"/>
      <c r="SP6" s="47"/>
      <c r="SQ6" s="47"/>
      <c r="SR6" s="47"/>
      <c r="SS6" s="47"/>
      <c r="ST6" s="47"/>
      <c r="SU6" s="47"/>
      <c r="SV6" s="47"/>
      <c r="SW6" s="47"/>
      <c r="SX6" s="47"/>
      <c r="SY6" s="47"/>
      <c r="SZ6" s="47"/>
      <c r="TA6" s="47"/>
      <c r="TB6" s="47"/>
      <c r="TC6" s="47"/>
      <c r="TD6" s="47"/>
      <c r="TE6" s="47"/>
      <c r="TF6" s="47"/>
      <c r="TG6" s="47"/>
      <c r="TH6" s="47"/>
      <c r="TI6" s="47"/>
      <c r="TJ6" s="47"/>
      <c r="TK6" s="47"/>
      <c r="TL6" s="47"/>
      <c r="TM6" s="47"/>
      <c r="TN6" s="47"/>
      <c r="TO6" s="47"/>
      <c r="TP6" s="47"/>
      <c r="TQ6" s="47"/>
      <c r="TR6" s="47"/>
      <c r="TS6" s="47"/>
      <c r="TT6" s="47"/>
      <c r="TU6" s="47"/>
      <c r="TV6" s="47"/>
    </row>
    <row r="7" spans="1:542" s="45" customFormat="1" ht="15.75" x14ac:dyDescent="0.25">
      <c r="A7" s="45">
        <v>4.1587438745168352</v>
      </c>
      <c r="B7" s="45">
        <v>61.643135791907973</v>
      </c>
      <c r="K7" s="25">
        <v>2.7700920740754147</v>
      </c>
      <c r="L7" s="25">
        <v>57.140004954410699</v>
      </c>
      <c r="R7" s="46">
        <v>4.1587438745168352</v>
      </c>
      <c r="S7" s="46">
        <v>58.811256476057906</v>
      </c>
    </row>
    <row r="8" spans="1:542" s="45" customFormat="1" ht="15.75" x14ac:dyDescent="0.25">
      <c r="A8" s="45">
        <v>3.6921032065916353</v>
      </c>
      <c r="B8" s="45">
        <v>67.130265621113892</v>
      </c>
      <c r="K8" s="46">
        <v>2.2152619239549809</v>
      </c>
      <c r="L8" s="46">
        <v>71.970497624435893</v>
      </c>
      <c r="R8" s="47">
        <v>4.0879738745195144</v>
      </c>
      <c r="S8" s="47">
        <v>60.000023310997264</v>
      </c>
    </row>
    <row r="9" spans="1:542" s="45" customFormat="1" ht="15.75" x14ac:dyDescent="0.25">
      <c r="A9" s="45">
        <v>3.396123890599529</v>
      </c>
      <c r="B9" s="45">
        <v>72.868051722383669</v>
      </c>
      <c r="K9" s="46">
        <v>1.8984137698278771</v>
      </c>
      <c r="L9" s="46">
        <v>81.541444816521803</v>
      </c>
      <c r="R9" s="46">
        <v>3.6921032065916353</v>
      </c>
      <c r="S9" s="46">
        <v>67.130265621113949</v>
      </c>
    </row>
    <row r="10" spans="1:542" s="45" customFormat="1" ht="15.75" x14ac:dyDescent="0.25">
      <c r="A10" s="45">
        <v>3.1640229497131287</v>
      </c>
      <c r="B10" s="45">
        <v>78.859278338036461</v>
      </c>
      <c r="K10" s="46">
        <v>1.4280651832419196</v>
      </c>
      <c r="L10" s="46">
        <v>97.226015881438016</v>
      </c>
      <c r="R10" s="46">
        <v>3.396123890599529</v>
      </c>
      <c r="S10" s="46">
        <v>72.994014700305584</v>
      </c>
    </row>
    <row r="11" spans="1:542" s="45" customFormat="1" ht="15.75" x14ac:dyDescent="0.25">
      <c r="A11" s="45">
        <v>2.9315674439663457</v>
      </c>
      <c r="B11" s="45">
        <v>85.224869810845263</v>
      </c>
      <c r="K11" s="46">
        <v>1.35</v>
      </c>
      <c r="L11" s="46">
        <v>99.999999999999972</v>
      </c>
      <c r="R11" s="46">
        <v>3.1640229497131287</v>
      </c>
      <c r="S11" s="46">
        <v>77.91109955120109</v>
      </c>
    </row>
    <row r="12" spans="1:542" s="45" customFormat="1" ht="15.75" x14ac:dyDescent="0.25">
      <c r="A12" s="45">
        <v>2.3801086387365324</v>
      </c>
      <c r="B12" s="45">
        <v>94.738372548078814</v>
      </c>
      <c r="R12" s="46">
        <v>2.9315674439663457</v>
      </c>
      <c r="S12" s="46">
        <v>83.116621465631056</v>
      </c>
    </row>
    <row r="13" spans="1:542" s="45" customFormat="1" ht="15.75" x14ac:dyDescent="0.25">
      <c r="A13" s="45">
        <v>2.25</v>
      </c>
      <c r="B13" s="45">
        <v>100</v>
      </c>
      <c r="R13" s="46">
        <v>2.3801086387365324</v>
      </c>
      <c r="S13" s="46">
        <v>96.590375320134385</v>
      </c>
    </row>
    <row r="14" spans="1:542" ht="15.75" x14ac:dyDescent="0.25">
      <c r="H14" s="45"/>
      <c r="R14" s="46">
        <v>2.25</v>
      </c>
      <c r="S14" s="46">
        <v>100.00000000000003</v>
      </c>
    </row>
    <row r="15" spans="1:542" x14ac:dyDescent="0.25">
      <c r="R15" s="25"/>
      <c r="S15" s="25"/>
    </row>
  </sheetData>
  <sheetProtection formatCells="0" selectLockedCells="1" sort="0" autoFilter="0" pivotTables="0"/>
  <sortState ref="R4:S14">
    <sortCondition descending="1" ref="R4"/>
  </sortState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4"/>
  <sheetViews>
    <sheetView tabSelected="1" zoomScale="70" zoomScaleNormal="70" workbookViewId="0">
      <selection activeCell="B12" sqref="B12"/>
    </sheetView>
  </sheetViews>
  <sheetFormatPr defaultColWidth="9.125" defaultRowHeight="15" x14ac:dyDescent="0.25"/>
  <cols>
    <col min="1" max="3" width="9.125" style="1"/>
    <col min="4" max="4" width="9.125" style="1" customWidth="1"/>
    <col min="5" max="13" width="9.125" style="1"/>
    <col min="14" max="14" width="9.125" style="1" customWidth="1"/>
    <col min="15" max="16384" width="9.125" style="1"/>
  </cols>
  <sheetData>
    <row r="1" spans="1:20" ht="18.75" x14ac:dyDescent="0.3">
      <c r="A1" s="40" t="s">
        <v>32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2"/>
      <c r="M1" s="43"/>
      <c r="N1" s="43"/>
      <c r="O1" s="43"/>
      <c r="P1" s="43"/>
      <c r="Q1" s="43"/>
      <c r="R1" s="43"/>
      <c r="S1" s="43"/>
      <c r="T1" s="43"/>
    </row>
    <row r="2" spans="1:20" x14ac:dyDescent="0.25">
      <c r="M2" s="12"/>
      <c r="N2" s="12"/>
      <c r="O2" s="12"/>
      <c r="P2" s="12"/>
      <c r="Q2" s="12"/>
      <c r="R2" s="12"/>
      <c r="S2" s="12"/>
      <c r="T2" s="12"/>
    </row>
    <row r="3" spans="1:20" s="45" customFormat="1" ht="15.75" x14ac:dyDescent="0.25">
      <c r="A3" s="44" t="s">
        <v>28</v>
      </c>
      <c r="B3" s="44" t="s">
        <v>31</v>
      </c>
      <c r="K3" s="44" t="s">
        <v>28</v>
      </c>
      <c r="L3" s="44" t="s">
        <v>31</v>
      </c>
      <c r="R3" s="44" t="s">
        <v>28</v>
      </c>
      <c r="S3" s="44" t="s">
        <v>31</v>
      </c>
    </row>
    <row r="4" spans="1:20" s="45" customFormat="1" ht="15.75" x14ac:dyDescent="0.25">
      <c r="A4" s="45">
        <v>9</v>
      </c>
      <c r="B4" s="45">
        <v>39.352823849035133</v>
      </c>
      <c r="K4" s="46">
        <v>7.8545454545454554</v>
      </c>
      <c r="L4" s="46">
        <v>35.602960858799833</v>
      </c>
      <c r="R4" s="46">
        <v>9</v>
      </c>
      <c r="S4" s="46">
        <v>39.352823849035474</v>
      </c>
    </row>
    <row r="5" spans="1:20" s="45" customFormat="1" ht="15.75" x14ac:dyDescent="0.25">
      <c r="A5" s="45">
        <v>5.7272675206658903</v>
      </c>
      <c r="B5" s="45">
        <v>48.554677680110217</v>
      </c>
      <c r="K5" s="46">
        <v>4.1142857142857148</v>
      </c>
      <c r="L5" s="46">
        <v>36.76372994219183</v>
      </c>
      <c r="R5" s="46">
        <v>5.7272675206658903</v>
      </c>
      <c r="S5" s="46">
        <v>49.828561359200251</v>
      </c>
    </row>
    <row r="6" spans="1:20" s="45" customFormat="1" ht="15.75" x14ac:dyDescent="0.25">
      <c r="A6" s="45">
        <v>4.6666701234593511</v>
      </c>
      <c r="B6" s="45">
        <v>56.304919133112023</v>
      </c>
      <c r="K6" s="25">
        <v>2.9609857142832343</v>
      </c>
      <c r="L6" s="25">
        <v>57.140191458735359</v>
      </c>
      <c r="R6" s="6">
        <v>4.6666701234593511</v>
      </c>
      <c r="S6" s="6">
        <v>56.304919133111895</v>
      </c>
    </row>
    <row r="7" spans="1:20" s="45" customFormat="1" ht="15.75" x14ac:dyDescent="0.25">
      <c r="A7" s="45">
        <v>4.1587438745168352</v>
      </c>
      <c r="B7" s="45">
        <v>61.643135791907973</v>
      </c>
      <c r="K7" s="46">
        <v>2.8000020740756106</v>
      </c>
      <c r="L7" s="46">
        <v>60.683276912302034</v>
      </c>
      <c r="R7" s="47">
        <v>4.2914001234735579</v>
      </c>
      <c r="S7" s="47">
        <v>60.000080216126378</v>
      </c>
    </row>
    <row r="8" spans="1:20" s="45" customFormat="1" ht="15.75" x14ac:dyDescent="0.25">
      <c r="A8" s="45">
        <v>3.6921032065916353</v>
      </c>
      <c r="B8" s="45">
        <v>67.130265621113892</v>
      </c>
      <c r="K8" s="46">
        <v>2.2152619239549809</v>
      </c>
      <c r="L8" s="46">
        <v>74.953090231664589</v>
      </c>
      <c r="R8" s="46">
        <v>4.1587438745168352</v>
      </c>
      <c r="S8" s="46">
        <v>61.52524216132781</v>
      </c>
    </row>
    <row r="9" spans="1:20" s="45" customFormat="1" ht="15.75" x14ac:dyDescent="0.25">
      <c r="A9" s="45">
        <v>3.396123890599529</v>
      </c>
      <c r="B9" s="45">
        <v>72.868051722383669</v>
      </c>
      <c r="K9" s="46">
        <v>1.8984137698278771</v>
      </c>
      <c r="L9" s="46">
        <v>83.588040862283819</v>
      </c>
      <c r="R9" s="46">
        <v>3.6921032065916353</v>
      </c>
      <c r="S9" s="46">
        <v>67.910924684503982</v>
      </c>
    </row>
    <row r="10" spans="1:20" s="45" customFormat="1" ht="15.75" x14ac:dyDescent="0.25">
      <c r="A10" s="45">
        <v>3.1640229497131287</v>
      </c>
      <c r="B10" s="45">
        <v>78.859278338036461</v>
      </c>
      <c r="K10" s="46">
        <v>1.4280651832419196</v>
      </c>
      <c r="L10" s="46">
        <v>97.551743635357155</v>
      </c>
      <c r="R10" s="46">
        <v>3.396123890599529</v>
      </c>
      <c r="S10" s="46">
        <v>72.868051722383598</v>
      </c>
    </row>
    <row r="11" spans="1:20" s="45" customFormat="1" ht="15.75" x14ac:dyDescent="0.25">
      <c r="A11" s="45">
        <v>2.9315674439663457</v>
      </c>
      <c r="B11" s="45">
        <v>85.224869810845263</v>
      </c>
      <c r="K11" s="46">
        <v>1.35</v>
      </c>
      <c r="L11" s="46">
        <v>99.999999999999815</v>
      </c>
      <c r="R11" s="6">
        <v>3.1640229497131287</v>
      </c>
      <c r="S11" s="6">
        <v>77.29783998185286</v>
      </c>
    </row>
    <row r="12" spans="1:20" ht="15.75" x14ac:dyDescent="0.25">
      <c r="A12" s="1">
        <v>2.3801086387365324</v>
      </c>
      <c r="B12" s="1">
        <v>94.738372548078814</v>
      </c>
      <c r="R12" s="46">
        <v>2.9315674439663457</v>
      </c>
      <c r="S12" s="46">
        <v>82.246116668400703</v>
      </c>
    </row>
    <row r="13" spans="1:20" ht="15.75" x14ac:dyDescent="0.25">
      <c r="A13" s="1">
        <v>2.25</v>
      </c>
      <c r="B13" s="1">
        <v>100</v>
      </c>
      <c r="R13" s="46">
        <v>2.3801086387365324</v>
      </c>
      <c r="S13" s="46">
        <v>96.213962460913734</v>
      </c>
    </row>
    <row r="14" spans="1:20" ht="15.75" x14ac:dyDescent="0.25">
      <c r="R14" s="46">
        <v>2.25</v>
      </c>
      <c r="S14" s="46">
        <v>100</v>
      </c>
    </row>
  </sheetData>
  <sheetProtection selectLockedCells="1" sort="0" autoFilter="0" pivotTables="0"/>
  <sortState ref="R4:S14">
    <sortCondition descending="1" ref="R4"/>
  </sortState>
  <mergeCells count="1">
    <mergeCell ref="A1:L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zoomScale="130" zoomScaleNormal="130" workbookViewId="0">
      <selection sqref="A1:L1"/>
    </sheetView>
  </sheetViews>
  <sheetFormatPr defaultColWidth="9.125" defaultRowHeight="15" x14ac:dyDescent="0.25"/>
  <cols>
    <col min="1" max="16384" width="9.125" style="1"/>
  </cols>
  <sheetData>
    <row r="1" spans="1:20" ht="18.75" x14ac:dyDescent="0.3">
      <c r="A1" s="40" t="s">
        <v>33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2"/>
      <c r="M1" s="43"/>
      <c r="N1" s="43"/>
      <c r="O1" s="43"/>
      <c r="P1" s="43"/>
      <c r="Q1" s="43"/>
      <c r="R1" s="43"/>
      <c r="S1" s="43"/>
      <c r="T1" s="43"/>
    </row>
    <row r="3" spans="1:20" s="45" customFormat="1" ht="15.75" x14ac:dyDescent="0.25">
      <c r="A3" s="44" t="s">
        <v>28</v>
      </c>
      <c r="B3" s="44" t="s">
        <v>31</v>
      </c>
      <c r="K3" s="44" t="s">
        <v>28</v>
      </c>
      <c r="L3" s="44" t="s">
        <v>31</v>
      </c>
      <c r="R3" s="44" t="s">
        <v>28</v>
      </c>
      <c r="S3" s="44" t="s">
        <v>31</v>
      </c>
    </row>
    <row r="4" spans="1:20" s="45" customFormat="1" ht="15.75" x14ac:dyDescent="0.25">
      <c r="A4" s="45">
        <v>9</v>
      </c>
      <c r="B4" s="45">
        <v>39.352823849035133</v>
      </c>
      <c r="K4" s="46">
        <v>7.8545454545454554</v>
      </c>
      <c r="L4" s="46">
        <v>35.602960858806455</v>
      </c>
      <c r="R4" s="46">
        <v>9</v>
      </c>
      <c r="S4" s="46">
        <v>39.352823849039851</v>
      </c>
    </row>
    <row r="5" spans="1:20" s="45" customFormat="1" ht="15.75" x14ac:dyDescent="0.25">
      <c r="A5" s="45">
        <v>5.7272675206658903</v>
      </c>
      <c r="B5" s="45">
        <v>48.554677680110217</v>
      </c>
      <c r="K5" s="46">
        <v>4.1142857142857148</v>
      </c>
      <c r="L5" s="46">
        <v>48.599066728756213</v>
      </c>
      <c r="R5" s="46">
        <v>5.7272675206658903</v>
      </c>
      <c r="S5" s="46">
        <v>48.554677680108853</v>
      </c>
    </row>
    <row r="6" spans="1:20" s="45" customFormat="1" ht="15.75" x14ac:dyDescent="0.25">
      <c r="A6" s="45">
        <v>4.6666701234593511</v>
      </c>
      <c r="B6" s="45">
        <v>56.304919133112023</v>
      </c>
      <c r="K6" s="46">
        <v>2.8000020740756106</v>
      </c>
      <c r="L6" s="46">
        <v>52.911932701813782</v>
      </c>
      <c r="R6" s="6">
        <v>4.6666701234593511</v>
      </c>
      <c r="S6" s="6">
        <v>56.248533564748811</v>
      </c>
    </row>
    <row r="7" spans="1:20" s="45" customFormat="1" ht="15.75" x14ac:dyDescent="0.25">
      <c r="A7" s="45">
        <v>4.1587438745168352</v>
      </c>
      <c r="B7" s="45">
        <v>61.643135791907973</v>
      </c>
      <c r="K7" s="25">
        <v>2.651072074074635</v>
      </c>
      <c r="L7" s="25">
        <v>57.140088822142559</v>
      </c>
      <c r="R7" s="47">
        <v>4.3000201234732316</v>
      </c>
      <c r="S7" s="47">
        <v>60.000022242289504</v>
      </c>
    </row>
    <row r="8" spans="1:20" s="45" customFormat="1" ht="15.75" x14ac:dyDescent="0.25">
      <c r="A8" s="45">
        <v>3.6921032065916353</v>
      </c>
      <c r="B8" s="45">
        <v>67.130265621113892</v>
      </c>
      <c r="K8" s="46">
        <v>2.2152619239549809</v>
      </c>
      <c r="L8" s="46">
        <v>71.970497624435865</v>
      </c>
      <c r="R8" s="46">
        <v>4.1587438745168352</v>
      </c>
      <c r="S8" s="46">
        <v>61.643135791907469</v>
      </c>
    </row>
    <row r="9" spans="1:20" s="45" customFormat="1" ht="15.75" x14ac:dyDescent="0.25">
      <c r="A9" s="45">
        <v>3.396123890599529</v>
      </c>
      <c r="B9" s="45">
        <v>72.868051722383669</v>
      </c>
      <c r="K9" s="46">
        <v>1.8984137698278771</v>
      </c>
      <c r="L9" s="46">
        <v>83.58804086228406</v>
      </c>
      <c r="R9" s="46">
        <v>3.6921032065916353</v>
      </c>
      <c r="S9" s="46">
        <v>67.992467635523781</v>
      </c>
    </row>
    <row r="10" spans="1:20" s="45" customFormat="1" ht="15.75" x14ac:dyDescent="0.25">
      <c r="A10" s="45">
        <v>3.1640229497131287</v>
      </c>
      <c r="B10" s="45">
        <v>78.859278338036461</v>
      </c>
      <c r="K10" s="46">
        <v>1.4280651832419196</v>
      </c>
      <c r="L10" s="46">
        <v>98.246195703160566</v>
      </c>
      <c r="R10" s="6">
        <v>3.396123890599529</v>
      </c>
      <c r="S10" s="6">
        <v>72.868051722383598</v>
      </c>
    </row>
    <row r="11" spans="1:20" s="45" customFormat="1" ht="15.75" x14ac:dyDescent="0.25">
      <c r="A11" s="45">
        <v>2.9315674439663457</v>
      </c>
      <c r="B11" s="45">
        <v>85.224869810845263</v>
      </c>
      <c r="K11" s="46">
        <v>1.35</v>
      </c>
      <c r="L11" s="46">
        <v>100.00000000000014</v>
      </c>
      <c r="R11" s="46">
        <v>3.1640229497131287</v>
      </c>
      <c r="S11" s="46">
        <v>77.226290284793777</v>
      </c>
    </row>
    <row r="12" spans="1:20" ht="15.75" x14ac:dyDescent="0.25">
      <c r="A12" s="1">
        <v>2.3801086387365324</v>
      </c>
      <c r="B12" s="1">
        <v>94.738372548078814</v>
      </c>
      <c r="R12" s="46">
        <v>2.9315674439663457</v>
      </c>
      <c r="S12" s="46">
        <v>82.11663807466428</v>
      </c>
    </row>
    <row r="13" spans="1:20" ht="15.75" x14ac:dyDescent="0.25">
      <c r="A13" s="1">
        <v>2.25</v>
      </c>
      <c r="B13" s="1">
        <v>100</v>
      </c>
      <c r="R13" s="46">
        <v>2.3801086387365324</v>
      </c>
      <c r="S13" s="46">
        <v>96.135071643647791</v>
      </c>
    </row>
    <row r="14" spans="1:20" ht="15.75" x14ac:dyDescent="0.25">
      <c r="R14" s="46">
        <v>2.25</v>
      </c>
      <c r="S14" s="46">
        <v>100.00000000000027</v>
      </c>
    </row>
  </sheetData>
  <sheetProtection selectLockedCells="1" sort="0" autoFilter="0" pivotTables="0"/>
  <sortState ref="R4:S14">
    <sortCondition descending="1" ref="R4"/>
  </sortState>
  <mergeCells count="1">
    <mergeCell ref="A1:L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17"/>
  <sheetViews>
    <sheetView zoomScale="70" zoomScaleNormal="70" workbookViewId="0">
      <pane xSplit="14" ySplit="3" topLeftCell="O4" activePane="bottomRight" state="frozen"/>
      <selection pane="topRight" activeCell="O1" sqref="O1"/>
      <selection pane="bottomLeft" activeCell="A4" sqref="A4"/>
      <selection pane="bottomRight" activeCell="D4" sqref="D4:E8"/>
    </sheetView>
  </sheetViews>
  <sheetFormatPr defaultColWidth="9.125" defaultRowHeight="15" x14ac:dyDescent="0.25"/>
  <cols>
    <col min="1" max="1" width="7.625" style="26" customWidth="1"/>
    <col min="2" max="2" width="18.125" style="27" customWidth="1"/>
    <col min="3" max="3" width="13.125" style="27" customWidth="1"/>
    <col min="4" max="4" width="16.375" style="27" customWidth="1"/>
    <col min="5" max="5" width="54.875" style="27" customWidth="1"/>
    <col min="6" max="6" width="11.25" style="27" customWidth="1"/>
    <col min="7" max="8" width="14" style="27" customWidth="1"/>
    <col min="9" max="9" width="9.625" style="27" customWidth="1"/>
    <col min="10" max="10" width="14" style="27" customWidth="1"/>
    <col min="11" max="11" width="14.5" style="27" customWidth="1"/>
    <col min="12" max="12" width="10.375" style="27" customWidth="1"/>
    <col min="13" max="13" width="14" style="27" customWidth="1"/>
    <col min="14" max="14" width="14.25" style="27" customWidth="1"/>
    <col min="15" max="16384" width="9.125" style="1"/>
  </cols>
  <sheetData>
    <row r="1" spans="1:14" s="49" customFormat="1" ht="23.25" x14ac:dyDescent="0.35">
      <c r="A1" s="48" t="s">
        <v>34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</row>
    <row r="2" spans="1:14" s="49" customFormat="1" ht="48.75" customHeight="1" x14ac:dyDescent="0.35">
      <c r="A2" s="50" t="s">
        <v>35</v>
      </c>
      <c r="B2" s="51" t="s">
        <v>36</v>
      </c>
      <c r="C2" s="51" t="s">
        <v>39</v>
      </c>
      <c r="D2" s="51" t="s">
        <v>37</v>
      </c>
      <c r="E2" s="51" t="s">
        <v>38</v>
      </c>
      <c r="F2" s="51" t="s">
        <v>40</v>
      </c>
      <c r="G2" s="51"/>
      <c r="H2" s="51"/>
      <c r="I2" s="51" t="s">
        <v>41</v>
      </c>
      <c r="J2" s="51"/>
      <c r="K2" s="51"/>
      <c r="L2" s="51" t="s">
        <v>42</v>
      </c>
      <c r="M2" s="51"/>
      <c r="N2" s="51"/>
    </row>
    <row r="3" spans="1:14" s="49" customFormat="1" ht="86.25" customHeight="1" x14ac:dyDescent="0.35">
      <c r="A3" s="50"/>
      <c r="B3" s="51"/>
      <c r="C3" s="51"/>
      <c r="D3" s="51"/>
      <c r="E3" s="51"/>
      <c r="F3" s="52" t="s">
        <v>31</v>
      </c>
      <c r="G3" s="52" t="s">
        <v>43</v>
      </c>
      <c r="H3" s="52" t="s">
        <v>44</v>
      </c>
      <c r="I3" s="52" t="s">
        <v>31</v>
      </c>
      <c r="J3" s="52" t="s">
        <v>43</v>
      </c>
      <c r="K3" s="52" t="s">
        <v>44</v>
      </c>
      <c r="L3" s="52" t="s">
        <v>31</v>
      </c>
      <c r="M3" s="52" t="s">
        <v>43</v>
      </c>
      <c r="N3" s="52" t="s">
        <v>44</v>
      </c>
    </row>
    <row r="4" spans="1:14" s="49" customFormat="1" ht="23.25" x14ac:dyDescent="0.35">
      <c r="A4" s="53">
        <v>1</v>
      </c>
      <c r="B4" s="54">
        <v>3</v>
      </c>
      <c r="C4" s="54">
        <v>60</v>
      </c>
      <c r="D4" s="54">
        <v>6</v>
      </c>
      <c r="E4" s="54" t="s">
        <v>51</v>
      </c>
      <c r="F4" s="54">
        <v>60.000114986873086</v>
      </c>
      <c r="G4" s="54">
        <v>4.7721675207020482</v>
      </c>
      <c r="H4" s="54">
        <v>3.1814450138013655</v>
      </c>
      <c r="I4" s="54">
        <v>60.000071778691165</v>
      </c>
      <c r="J4" s="54">
        <v>4.6598001234596111</v>
      </c>
      <c r="K4" s="54">
        <v>3.1065334156397406</v>
      </c>
      <c r="L4" s="54">
        <v>60.000068377725313</v>
      </c>
      <c r="M4" s="54">
        <v>4.7751075207019369</v>
      </c>
      <c r="N4" s="54">
        <v>3.1834050138012913</v>
      </c>
    </row>
    <row r="5" spans="1:14" s="49" customFormat="1" ht="23.25" x14ac:dyDescent="0.35">
      <c r="A5" s="53">
        <v>2</v>
      </c>
      <c r="B5" s="54">
        <v>3</v>
      </c>
      <c r="C5" s="54">
        <v>60</v>
      </c>
      <c r="D5" s="54">
        <v>7</v>
      </c>
      <c r="E5" s="54" t="s">
        <v>66</v>
      </c>
      <c r="F5" s="54">
        <v>60.000056815537036</v>
      </c>
      <c r="G5" s="54">
        <v>4.491700123465975</v>
      </c>
      <c r="H5" s="54">
        <v>2.9944667489773167</v>
      </c>
      <c r="I5" s="54">
        <v>60.000059974358038</v>
      </c>
      <c r="J5" s="54">
        <v>4.7187675207040698</v>
      </c>
      <c r="K5" s="54">
        <v>3.1458450138027132</v>
      </c>
      <c r="L5" s="54">
        <v>60.000020409343279</v>
      </c>
      <c r="M5" s="54">
        <v>4.3248801234722904</v>
      </c>
      <c r="N5" s="54">
        <v>2.8832534156481935</v>
      </c>
    </row>
    <row r="6" spans="1:14" s="49" customFormat="1" ht="23.25" x14ac:dyDescent="0.35">
      <c r="A6" s="53">
        <v>3</v>
      </c>
      <c r="B6" s="54">
        <v>3</v>
      </c>
      <c r="C6" s="54">
        <v>60</v>
      </c>
      <c r="D6" s="54">
        <v>8</v>
      </c>
      <c r="E6" s="54" t="s">
        <v>72</v>
      </c>
      <c r="F6" s="54">
        <v>60.000142160964828</v>
      </c>
      <c r="G6" s="54">
        <v>4.2386601234755545</v>
      </c>
      <c r="H6" s="54">
        <v>2.8257734156503695</v>
      </c>
      <c r="I6" s="54">
        <v>60.000021133581868</v>
      </c>
      <c r="J6" s="54">
        <v>4.664110123459448</v>
      </c>
      <c r="K6" s="54">
        <v>3.1094067489729653</v>
      </c>
      <c r="L6" s="54">
        <v>60.000081474203768</v>
      </c>
      <c r="M6" s="54">
        <v>4.336700123471843</v>
      </c>
      <c r="N6" s="54">
        <v>2.8911334156478952</v>
      </c>
    </row>
    <row r="7" spans="1:14" s="49" customFormat="1" ht="23.25" x14ac:dyDescent="0.35">
      <c r="A7" s="53">
        <v>4</v>
      </c>
      <c r="B7" s="54">
        <v>3</v>
      </c>
      <c r="C7" s="54">
        <v>60</v>
      </c>
      <c r="D7" s="54">
        <v>9</v>
      </c>
      <c r="E7" s="54" t="s">
        <v>78</v>
      </c>
      <c r="F7" s="54">
        <v>60.000093135570154</v>
      </c>
      <c r="G7" s="54">
        <v>4.0782101234816288</v>
      </c>
      <c r="H7" s="54">
        <v>2.7188067489877525</v>
      </c>
      <c r="I7" s="54">
        <v>60.000064959515726</v>
      </c>
      <c r="J7" s="54">
        <v>4.5487401234638156</v>
      </c>
      <c r="K7" s="54">
        <v>3.0324934156425436</v>
      </c>
      <c r="L7" s="54">
        <v>60.000000104949208</v>
      </c>
      <c r="M7" s="54">
        <v>4.0752401234817413</v>
      </c>
      <c r="N7" s="54">
        <v>2.7168267489878275</v>
      </c>
    </row>
    <row r="8" spans="1:14" s="49" customFormat="1" ht="23.25" x14ac:dyDescent="0.35">
      <c r="A8" s="53">
        <v>5</v>
      </c>
      <c r="B8" s="54">
        <v>3</v>
      </c>
      <c r="C8" s="54">
        <v>60</v>
      </c>
      <c r="D8" s="54">
        <v>10</v>
      </c>
      <c r="E8" s="54" t="s">
        <v>84</v>
      </c>
      <c r="F8" s="54">
        <v>60.000023310997264</v>
      </c>
      <c r="G8" s="54">
        <v>4.0879638745195148</v>
      </c>
      <c r="H8" s="54">
        <v>2.7253092496796767</v>
      </c>
      <c r="I8" s="54">
        <v>60.000080216126378</v>
      </c>
      <c r="J8" s="54">
        <v>4.2913901234735583</v>
      </c>
      <c r="K8" s="54">
        <v>2.8609267489823722</v>
      </c>
      <c r="L8" s="54">
        <v>60.000022242289504</v>
      </c>
      <c r="M8" s="54">
        <v>4.300010123473232</v>
      </c>
      <c r="N8" s="54">
        <v>2.8666734156488212</v>
      </c>
    </row>
    <row r="9" spans="1:14" s="49" customFormat="1" ht="23.25" x14ac:dyDescent="0.35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</row>
    <row r="10" spans="1:14" s="49" customFormat="1" ht="23.25" x14ac:dyDescent="0.35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</row>
    <row r="17" spans="19:20" x14ac:dyDescent="0.25">
      <c r="S17" s="12"/>
      <c r="T17" s="26"/>
    </row>
  </sheetData>
  <sheetProtection selectLockedCells="1" sort="0" autoFilter="0" pivotTables="0"/>
  <mergeCells count="9">
    <mergeCell ref="F2:H2"/>
    <mergeCell ref="I2:K2"/>
    <mergeCell ref="L2:N2"/>
    <mergeCell ref="A1:N1"/>
    <mergeCell ref="A2:A3"/>
    <mergeCell ref="B2:B3"/>
    <mergeCell ref="C2:C3"/>
    <mergeCell ref="D2:D3"/>
    <mergeCell ref="E2:E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apagarHistorico.apagarHistorico">
                <anchor moveWithCells="1" sizeWithCells="1">
                  <from>
                    <xdr:col>14</xdr:col>
                    <xdr:colOff>66675</xdr:colOff>
                    <xdr:row>0</xdr:row>
                    <xdr:rowOff>238125</xdr:rowOff>
                  </from>
                  <to>
                    <xdr:col>16</xdr:col>
                    <xdr:colOff>609600</xdr:colOff>
                    <xdr:row>2</xdr:row>
                    <xdr:rowOff>942975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Dados</vt:lpstr>
      <vt:lpstr>Gráfico</vt:lpstr>
      <vt:lpstr>2º Grau</vt:lpstr>
      <vt:lpstr>3º Grau</vt:lpstr>
      <vt:lpstr>4º Grau</vt:lpstr>
      <vt:lpstr>Resultados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Victor</dc:creator>
  <cp:lastModifiedBy>Jose Victor</cp:lastModifiedBy>
  <cp:lastPrinted>2016-07-13T13:23:59Z</cp:lastPrinted>
  <dcterms:created xsi:type="dcterms:W3CDTF">2016-05-11T18:58:47Z</dcterms:created>
  <dcterms:modified xsi:type="dcterms:W3CDTF">2016-10-20T19:04:58Z</dcterms:modified>
</cp:coreProperties>
</file>