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icro02\Desktop\JV\TC\"/>
    </mc:Choice>
  </mc:AlternateContent>
  <bookViews>
    <workbookView xWindow="0" yWindow="0" windowWidth="10290" windowHeight="7680"/>
  </bookViews>
  <sheets>
    <sheet name="Dados" sheetId="1" r:id="rId1"/>
    <sheet name="Gráfico" sheetId="5" r:id="rId2"/>
    <sheet name="2º Grau" sheetId="6" r:id="rId3"/>
    <sheet name="3º Grau" sheetId="7" r:id="rId4"/>
    <sheet name="4º Grau" sheetId="8" r:id="rId5"/>
    <sheet name="Resultados" sheetId="9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8" l="1" a="1"/>
  <c r="D15" i="8" s="1"/>
  <c r="D9" i="8" a="1"/>
  <c r="F9" i="8" s="1"/>
  <c r="D13" i="7" a="1"/>
  <c r="D13" i="7" s="1"/>
  <c r="D8" i="7" a="1"/>
  <c r="F8" i="7" s="1"/>
  <c r="D11" i="6" a="1"/>
  <c r="D11" i="6" s="1"/>
  <c r="D7" i="6" a="1"/>
  <c r="D7" i="6" s="1"/>
  <c r="J13" i="5"/>
  <c r="I13" i="5"/>
  <c r="I12" i="5"/>
  <c r="H13" i="5"/>
  <c r="H12" i="5"/>
  <c r="H11" i="5"/>
  <c r="G13" i="5"/>
  <c r="G12" i="5"/>
  <c r="G11" i="5"/>
  <c r="G10" i="5"/>
  <c r="F13" i="5"/>
  <c r="F12" i="5"/>
  <c r="F11" i="5"/>
  <c r="F10" i="5"/>
  <c r="F9" i="5"/>
  <c r="D18" i="8" l="1"/>
  <c r="D17" i="8"/>
  <c r="D16" i="8"/>
  <c r="D19" i="8"/>
  <c r="E13" i="8"/>
  <c r="F12" i="8"/>
  <c r="G11" i="8"/>
  <c r="H10" i="8"/>
  <c r="D10" i="8"/>
  <c r="E9" i="8"/>
  <c r="H13" i="8"/>
  <c r="D13" i="8"/>
  <c r="E12" i="8"/>
  <c r="F11" i="8"/>
  <c r="G10" i="8"/>
  <c r="H9" i="8"/>
  <c r="D9" i="8"/>
  <c r="G13" i="8"/>
  <c r="H12" i="8"/>
  <c r="D12" i="8"/>
  <c r="E11" i="8"/>
  <c r="F10" i="8"/>
  <c r="G9" i="8"/>
  <c r="F13" i="8"/>
  <c r="G12" i="8"/>
  <c r="H11" i="8"/>
  <c r="D11" i="8"/>
  <c r="E10" i="8"/>
  <c r="D16" i="7"/>
  <c r="D15" i="7"/>
  <c r="D14" i="7"/>
  <c r="E11" i="7"/>
  <c r="E10" i="7"/>
  <c r="E9" i="7"/>
  <c r="E8" i="7"/>
  <c r="D11" i="7"/>
  <c r="D10" i="7"/>
  <c r="D9" i="7"/>
  <c r="D8" i="7"/>
  <c r="G11" i="7"/>
  <c r="G10" i="7"/>
  <c r="G9" i="7"/>
  <c r="G8" i="7"/>
  <c r="F11" i="7"/>
  <c r="F10" i="7"/>
  <c r="F9" i="7"/>
  <c r="D13" i="6"/>
  <c r="D12" i="6"/>
  <c r="D9" i="6"/>
  <c r="E9" i="6"/>
  <c r="D8" i="6"/>
  <c r="F7" i="6"/>
  <c r="F8" i="6"/>
  <c r="E7" i="6"/>
  <c r="F9" i="6"/>
  <c r="E8" i="6"/>
</calcChain>
</file>

<file path=xl/comments1.xml><?xml version="1.0" encoding="utf-8"?>
<comments xmlns="http://schemas.openxmlformats.org/spreadsheetml/2006/main">
  <authors>
    <author>Jose Victor</author>
  </authors>
  <commentList>
    <comment ref="A6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Intervalos devem ser equidistantes e em ordem crescente</t>
        </r>
      </text>
    </comment>
  </commentList>
</comments>
</file>

<file path=xl/sharedStrings.xml><?xml version="1.0" encoding="utf-8"?>
<sst xmlns="http://schemas.openxmlformats.org/spreadsheetml/2006/main" count="97" uniqueCount="63">
  <si>
    <t>Tempo (min)</t>
  </si>
  <si>
    <t>mg/L SST</t>
  </si>
  <si>
    <t>Eficiência de remoção de SST (%)</t>
  </si>
  <si>
    <t>Eficiência (%)</t>
  </si>
  <si>
    <t>Profundidade do decantador (m)</t>
  </si>
  <si>
    <t>Quantidade de Curvas de remoção</t>
  </si>
  <si>
    <t>Curva 1 (%)</t>
  </si>
  <si>
    <t>Curva 2 (%)</t>
  </si>
  <si>
    <t>Curva 3 (%)</t>
  </si>
  <si>
    <t>Curva 4 (%)</t>
  </si>
  <si>
    <t>Curva 5 (%)</t>
  </si>
  <si>
    <t>Curva 6 (%)</t>
  </si>
  <si>
    <t>Curva 7 (%)</t>
  </si>
  <si>
    <t>Curva 8 (%)</t>
  </si>
  <si>
    <t>Curva 9 (%)</t>
  </si>
  <si>
    <t>Curva 10 (%)</t>
  </si>
  <si>
    <t>X</t>
  </si>
  <si>
    <t>Y</t>
  </si>
  <si>
    <t>Curva 30</t>
  </si>
  <si>
    <t>Curva 40</t>
  </si>
  <si>
    <t>Curva 50</t>
  </si>
  <si>
    <t>Curva 60</t>
  </si>
  <si>
    <t>Curva 70</t>
  </si>
  <si>
    <t>Curva 85</t>
  </si>
  <si>
    <t>Rt 30</t>
  </si>
  <si>
    <t>Rt 40</t>
  </si>
  <si>
    <t>Rt 50</t>
  </si>
  <si>
    <t>Rt 60</t>
  </si>
  <si>
    <t>Rt 70</t>
  </si>
  <si>
    <t>Rt 85</t>
  </si>
  <si>
    <t>85 p/ 100</t>
  </si>
  <si>
    <t>Curva de % de remoção</t>
  </si>
  <si>
    <t>Rt, %</t>
  </si>
  <si>
    <t>Vs (m/h)</t>
  </si>
  <si>
    <t>ENSAIO DE SEDIMENTAÇÃO - JOSÉ VICTOR LEÃO DE OLIVEIRA</t>
  </si>
  <si>
    <t>REGRESSÃO POLINOMIAL DO 2º GRAU</t>
  </si>
  <si>
    <t>Rt (%)</t>
  </si>
  <si>
    <t>REGRESSÃO POLINOMIAL DO 3º GRAU</t>
  </si>
  <si>
    <t>REGRESSÃO POLINOMIAL DO 4º GRAU</t>
  </si>
  <si>
    <t>RESULTADOS</t>
  </si>
  <si>
    <t>Teste</t>
  </si>
  <si>
    <t>Profundidade (m)</t>
  </si>
  <si>
    <t>Quantidade de curvas de remoção</t>
  </si>
  <si>
    <t>Eficiência das curvas</t>
  </si>
  <si>
    <t>Eficiencia de remoção (%)</t>
  </si>
  <si>
    <t>Regressão Polinomial do 2º Grau</t>
  </si>
  <si>
    <t>Regressão Polinomial do 3º Grau</t>
  </si>
  <si>
    <t>Regressão Polinomial do 4º Grau</t>
  </si>
  <si>
    <t>Vs Corrigida (m/h)</t>
  </si>
  <si>
    <t>30 p/ 40</t>
  </si>
  <si>
    <t>50 p/ 60</t>
  </si>
  <si>
    <t>h1 = 1 m</t>
  </si>
  <si>
    <t>h2 = 2 m</t>
  </si>
  <si>
    <t>h3 = 3 m</t>
  </si>
  <si>
    <t>40 p/ 50</t>
  </si>
  <si>
    <t>60 p/ 70</t>
  </si>
  <si>
    <t>70 p/ 85</t>
  </si>
  <si>
    <t>X = 27,0964</t>
  </si>
  <si>
    <t>X = 34,9084</t>
  </si>
  <si>
    <t>X = 42,22</t>
  </si>
  <si>
    <t>X = 51,5983</t>
  </si>
  <si>
    <t>X = 58,7977</t>
  </si>
  <si>
    <t>X = 77,4133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</si>
</sst>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Border="1"/>
    <xf numFmtId="0" fontId="0" fillId="0" borderId="0" xfId="0" applyFill="1"/>
    <xf numFmtId="0" fontId="5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" xfId="0" applyBorder="1" applyProtection="1"/>
    <xf numFmtId="0" fontId="0" fillId="0" borderId="1" xfId="0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Curvas de eficiência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Gráfico!$A$1</c:f>
              <c:strCache>
                <c:ptCount val="1"/>
                <c:pt idx="0">
                  <c:v>Curva 30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Gráfico!$A$3:$A$6</c:f>
              <c:numCache>
                <c:formatCode>General</c:formatCode>
                <c:ptCount val="4"/>
                <c:pt idx="0">
                  <c:v>0</c:v>
                </c:pt>
                <c:pt idx="1">
                  <c:v>18.4968</c:v>
                </c:pt>
                <c:pt idx="2">
                  <c:v>23.272300000000001</c:v>
                </c:pt>
                <c:pt idx="3">
                  <c:v>27.096399999999999</c:v>
                </c:pt>
              </c:numCache>
            </c:numRef>
          </c:xVal>
          <c:yVal>
            <c:numRef>
              <c:f>Gráfico!$B$3:$B$6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Gráfico!$D$1</c:f>
              <c:strCache>
                <c:ptCount val="1"/>
                <c:pt idx="0">
                  <c:v>Curva 40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Gráfico!$D$3:$D$6</c:f>
              <c:numCache>
                <c:formatCode>General</c:formatCode>
                <c:ptCount val="4"/>
                <c:pt idx="0">
                  <c:v>0</c:v>
                </c:pt>
                <c:pt idx="1">
                  <c:v>23.486799999999999</c:v>
                </c:pt>
                <c:pt idx="2">
                  <c:v>29.816800000000001</c:v>
                </c:pt>
                <c:pt idx="3">
                  <c:v>34.9084</c:v>
                </c:pt>
              </c:numCache>
            </c:numRef>
          </c:xVal>
          <c:yVal>
            <c:numRef>
              <c:f>Gráfico!$E$3:$E$6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Gráfico!$G$1</c:f>
              <c:strCache>
                <c:ptCount val="1"/>
                <c:pt idx="0">
                  <c:v>Curva 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Gráfico!$G$3:$G$6</c:f>
              <c:numCache>
                <c:formatCode>General</c:formatCode>
                <c:ptCount val="4"/>
                <c:pt idx="0">
                  <c:v>0</c:v>
                </c:pt>
                <c:pt idx="1">
                  <c:v>27.672699999999999</c:v>
                </c:pt>
                <c:pt idx="2">
                  <c:v>40.605600000000003</c:v>
                </c:pt>
                <c:pt idx="3">
                  <c:v>42.22</c:v>
                </c:pt>
              </c:numCache>
            </c:numRef>
          </c:xVal>
          <c:yVal>
            <c:numRef>
              <c:f>Gráfico!$H$3:$H$6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Gráfico!$J$1</c:f>
              <c:strCache>
                <c:ptCount val="1"/>
                <c:pt idx="0">
                  <c:v>Curva 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Gráfico!$J$3:$J$6</c:f>
              <c:numCache>
                <c:formatCode>General</c:formatCode>
                <c:ptCount val="4"/>
                <c:pt idx="0">
                  <c:v>0</c:v>
                </c:pt>
                <c:pt idx="1">
                  <c:v>36.959200000000003</c:v>
                </c:pt>
                <c:pt idx="2">
                  <c:v>46.061100000000003</c:v>
                </c:pt>
                <c:pt idx="3">
                  <c:v>51.598300000000002</c:v>
                </c:pt>
              </c:numCache>
            </c:numRef>
          </c:xVal>
          <c:yVal>
            <c:numRef>
              <c:f>Gráfico!$K$3:$K$6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Gráfico!$M$1</c:f>
              <c:strCache>
                <c:ptCount val="1"/>
                <c:pt idx="0">
                  <c:v>Curva 70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Gráfico!$M$3:$M$6</c:f>
              <c:numCache>
                <c:formatCode>General</c:formatCode>
                <c:ptCount val="4"/>
                <c:pt idx="0">
                  <c:v>0</c:v>
                </c:pt>
                <c:pt idx="1">
                  <c:v>44.9176</c:v>
                </c:pt>
                <c:pt idx="2">
                  <c:v>53.127099999999999</c:v>
                </c:pt>
                <c:pt idx="3">
                  <c:v>58.797699999999999</c:v>
                </c:pt>
              </c:numCache>
            </c:numRef>
          </c:xVal>
          <c:yVal>
            <c:numRef>
              <c:f>Gráfico!$N$3:$N$6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Gráfico!$P$1</c:f>
              <c:strCache>
                <c:ptCount val="1"/>
                <c:pt idx="0">
                  <c:v>Curva 85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Gráfico!$P$3:$P$6</c:f>
              <c:numCache>
                <c:formatCode>General</c:formatCode>
                <c:ptCount val="4"/>
                <c:pt idx="0">
                  <c:v>0</c:v>
                </c:pt>
                <c:pt idx="1">
                  <c:v>56.8551</c:v>
                </c:pt>
                <c:pt idx="2">
                  <c:v>70.503600000000006</c:v>
                </c:pt>
                <c:pt idx="3">
                  <c:v>77.413300000000007</c:v>
                </c:pt>
              </c:numCache>
            </c:numRef>
          </c:xVal>
          <c:yVal>
            <c:numRef>
              <c:f>Gráfico!$Q$3:$Q$6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26896"/>
        <c:axId val="629725776"/>
      </c:scatterChart>
      <c:valAx>
        <c:axId val="62972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725776"/>
        <c:crosses val="autoZero"/>
        <c:crossBetween val="midCat"/>
      </c:valAx>
      <c:valAx>
        <c:axId val="62972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9726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2º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652668416447945E-2"/>
                  <c:y val="-0.1672142023913677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'2º Grau'!$R$4:$R$14</c:f>
              <c:numCache>
                <c:formatCode>General</c:formatCode>
                <c:ptCount val="11"/>
                <c:pt idx="0">
                  <c:v>6.6429488788178501</c:v>
                </c:pt>
                <c:pt idx="1">
                  <c:v>5.1563520528010445</c:v>
                </c:pt>
                <c:pt idx="2">
                  <c:v>4.7367420528169299</c:v>
                </c:pt>
                <c:pt idx="3">
                  <c:v>4.2633822832780677</c:v>
                </c:pt>
                <c:pt idx="4">
                  <c:v>3.4884870237972954</c:v>
                </c:pt>
                <c:pt idx="5">
                  <c:v>3.0613442362541394</c:v>
                </c:pt>
                <c:pt idx="6">
                  <c:v>2.3251818485970754</c:v>
                </c:pt>
              </c:numCache>
            </c:numRef>
          </c:xVal>
          <c:yVal>
            <c:numRef>
              <c:f>'2º Grau'!$S$4:$S$14</c:f>
              <c:numCache>
                <c:formatCode>General</c:formatCode>
                <c:ptCount val="11"/>
                <c:pt idx="0">
                  <c:v>40.606511238293365</c:v>
                </c:pt>
                <c:pt idx="1">
                  <c:v>50.226719283730418</c:v>
                </c:pt>
                <c:pt idx="2">
                  <c:v>55.000105375043375</c:v>
                </c:pt>
                <c:pt idx="3">
                  <c:v>61.472489209281122</c:v>
                </c:pt>
                <c:pt idx="4">
                  <c:v>74.556531549318095</c:v>
                </c:pt>
                <c:pt idx="5">
                  <c:v>83.089834822083844</c:v>
                </c:pt>
                <c:pt idx="6">
                  <c:v>99.999999999999943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170688"/>
        <c:axId val="598174048"/>
      </c:scatterChart>
      <c:valAx>
        <c:axId val="59817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4048"/>
        <c:crosses val="autoZero"/>
        <c:crossBetween val="midCat"/>
      </c:valAx>
      <c:valAx>
        <c:axId val="59817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3º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3.5486439195100611E-2"/>
                  <c:y val="-0.250547535724701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'3º Grau'!$R$4:$R$14</c:f>
              <c:numCache>
                <c:formatCode>General</c:formatCode>
                <c:ptCount val="11"/>
                <c:pt idx="0">
                  <c:v>6.6429488788178501</c:v>
                </c:pt>
                <c:pt idx="1">
                  <c:v>5.1563520528010445</c:v>
                </c:pt>
                <c:pt idx="2">
                  <c:v>4.7486620528164787</c:v>
                </c:pt>
                <c:pt idx="3">
                  <c:v>4.2633822832780677</c:v>
                </c:pt>
                <c:pt idx="4">
                  <c:v>3.4884870237972954</c:v>
                </c:pt>
                <c:pt idx="5">
                  <c:v>3.0613442362541394</c:v>
                </c:pt>
                <c:pt idx="6">
                  <c:v>2.3251818485970754</c:v>
                </c:pt>
              </c:numCache>
            </c:numRef>
          </c:xVal>
          <c:yVal>
            <c:numRef>
              <c:f>'3º Grau'!$S$4:$S$14</c:f>
              <c:numCache>
                <c:formatCode>General</c:formatCode>
                <c:ptCount val="11"/>
                <c:pt idx="0">
                  <c:v>40.606511238293365</c:v>
                </c:pt>
                <c:pt idx="1">
                  <c:v>51.006643167967809</c:v>
                </c:pt>
                <c:pt idx="2">
                  <c:v>55.000028181114516</c:v>
                </c:pt>
                <c:pt idx="3">
                  <c:v>60.780910280780603</c:v>
                </c:pt>
                <c:pt idx="4">
                  <c:v>72.938689685805457</c:v>
                </c:pt>
                <c:pt idx="5">
                  <c:v>81.504570809844253</c:v>
                </c:pt>
                <c:pt idx="6">
                  <c:v>100.00000000000003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176288"/>
        <c:axId val="598176848"/>
      </c:scatterChart>
      <c:valAx>
        <c:axId val="59817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6848"/>
        <c:crosses val="autoZero"/>
        <c:crossBetween val="midCat"/>
      </c:valAx>
      <c:valAx>
        <c:axId val="59817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4º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8524978127734032"/>
                  <c:y val="9.66746864975211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'4º Grau'!$R$4:$R$14</c:f>
              <c:numCache>
                <c:formatCode>General</c:formatCode>
                <c:ptCount val="11"/>
                <c:pt idx="0">
                  <c:v>6.6429488788178501</c:v>
                </c:pt>
                <c:pt idx="1">
                  <c:v>5.1563520528010445</c:v>
                </c:pt>
                <c:pt idx="2">
                  <c:v>4.7453920528166025</c:v>
                </c:pt>
                <c:pt idx="3">
                  <c:v>4.2633822832780677</c:v>
                </c:pt>
                <c:pt idx="4">
                  <c:v>3.4884870237972954</c:v>
                </c:pt>
                <c:pt idx="5">
                  <c:v>3.0613442362541394</c:v>
                </c:pt>
                <c:pt idx="6">
                  <c:v>2.3251818485970754</c:v>
                </c:pt>
              </c:numCache>
            </c:numRef>
          </c:xVal>
          <c:yVal>
            <c:numRef>
              <c:f>'4º Grau'!$S$4:$S$14</c:f>
              <c:numCache>
                <c:formatCode>General</c:formatCode>
                <c:ptCount val="11"/>
                <c:pt idx="0">
                  <c:v>40.606511238296889</c:v>
                </c:pt>
                <c:pt idx="1">
                  <c:v>51.006643167970253</c:v>
                </c:pt>
                <c:pt idx="2">
                  <c:v>55.000106624514331</c:v>
                </c:pt>
                <c:pt idx="3">
                  <c:v>61.472489209282912</c:v>
                </c:pt>
                <c:pt idx="4">
                  <c:v>75.800610813124706</c:v>
                </c:pt>
                <c:pt idx="5">
                  <c:v>85.000000000001165</c:v>
                </c:pt>
                <c:pt idx="6">
                  <c:v>100.00000000000094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179088"/>
        <c:axId val="598179648"/>
      </c:scatterChart>
      <c:valAx>
        <c:axId val="59817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9648"/>
        <c:crosses val="autoZero"/>
        <c:crossBetween val="midCat"/>
      </c:valAx>
      <c:valAx>
        <c:axId val="5981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817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7</xdr:row>
          <xdr:rowOff>0</xdr:rowOff>
        </xdr:from>
        <xdr:to>
          <xdr:col>15</xdr:col>
          <xdr:colOff>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TAS!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809625</xdr:colOff>
      <xdr:row>5</xdr:row>
      <xdr:rowOff>4762</xdr:rowOff>
    </xdr:from>
    <xdr:to>
      <xdr:col>11</xdr:col>
      <xdr:colOff>152400</xdr:colOff>
      <xdr:row>19</xdr:row>
      <xdr:rowOff>80962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4</xdr:row>
      <xdr:rowOff>147637</xdr:rowOff>
    </xdr:from>
    <xdr:to>
      <xdr:col>14</xdr:col>
      <xdr:colOff>142875</xdr:colOff>
      <xdr:row>19</xdr:row>
      <xdr:rowOff>33337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147637</xdr:rowOff>
    </xdr:from>
    <xdr:to>
      <xdr:col>14</xdr:col>
      <xdr:colOff>152400</xdr:colOff>
      <xdr:row>19</xdr:row>
      <xdr:rowOff>33337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147637</xdr:rowOff>
    </xdr:from>
    <xdr:to>
      <xdr:col>14</xdr:col>
      <xdr:colOff>152400</xdr:colOff>
      <xdr:row>19</xdr:row>
      <xdr:rowOff>33337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0</xdr:row>
          <xdr:rowOff>57150</xdr:rowOff>
        </xdr:from>
        <xdr:to>
          <xdr:col>16</xdr:col>
          <xdr:colOff>285750</xdr:colOff>
          <xdr:row>2</xdr:row>
          <xdr:rowOff>571500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LIMPAR HISTÓRICO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88"/>
  <sheetViews>
    <sheetView tabSelected="1" zoomScaleNormal="100" zoomScaleSheetLayoutView="100" workbookViewId="0">
      <selection sqref="A1:O1"/>
    </sheetView>
  </sheetViews>
  <sheetFormatPr defaultRowHeight="15" x14ac:dyDescent="0.25"/>
  <cols>
    <col min="1" max="1" width="12.42578125" style="10" bestFit="1" customWidth="1"/>
    <col min="2" max="2" width="13.5703125" style="10" customWidth="1"/>
    <col min="3" max="3" width="13.140625" style="10" customWidth="1"/>
    <col min="4" max="4" width="10.7109375" style="10" bestFit="1" customWidth="1"/>
    <col min="5" max="5" width="9.140625" style="10"/>
    <col min="6" max="6" width="12.42578125" style="10" bestFit="1" customWidth="1"/>
    <col min="7" max="7" width="13.140625" style="10" customWidth="1"/>
    <col min="8" max="8" width="13.7109375" style="10" customWidth="1"/>
    <col min="9" max="9" width="13.5703125" style="10" customWidth="1"/>
    <col min="10" max="10" width="9.140625" style="10"/>
    <col min="11" max="11" width="22" style="10" bestFit="1" customWidth="1"/>
    <col min="12" max="12" width="12.42578125" style="10" bestFit="1" customWidth="1"/>
    <col min="13" max="13" width="7.85546875" style="10" customWidth="1"/>
    <col min="14" max="14" width="9.5703125" style="10" customWidth="1"/>
    <col min="15" max="16384" width="9.140625" style="10"/>
  </cols>
  <sheetData>
    <row r="1" spans="1:19" ht="15.75" thickBot="1" x14ac:dyDescent="0.3">
      <c r="A1" s="29" t="s">
        <v>34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1"/>
    </row>
    <row r="2" spans="1:19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9" x14ac:dyDescent="0.25">
      <c r="A3" s="37" t="s">
        <v>4</v>
      </c>
      <c r="B3" s="37"/>
      <c r="C3" s="37"/>
      <c r="D3" s="12">
        <v>3</v>
      </c>
      <c r="E3" s="11"/>
      <c r="F3" s="11"/>
      <c r="G3" s="11"/>
      <c r="H3" s="11"/>
      <c r="I3" s="11"/>
      <c r="J3" s="13"/>
      <c r="K3" s="32" t="s">
        <v>5</v>
      </c>
      <c r="L3" s="33"/>
      <c r="M3" s="33"/>
      <c r="N3" s="34"/>
      <c r="O3" s="10">
        <v>6</v>
      </c>
    </row>
    <row r="4" spans="1:19" x14ac:dyDescent="0.25">
      <c r="A4" s="37" t="s">
        <v>2</v>
      </c>
      <c r="B4" s="37"/>
      <c r="C4" s="37"/>
      <c r="D4" s="14">
        <v>55</v>
      </c>
      <c r="E4" s="11"/>
      <c r="F4" s="11"/>
      <c r="G4" s="11"/>
      <c r="H4" s="11"/>
      <c r="I4" s="11"/>
      <c r="J4" s="11"/>
      <c r="K4" s="15"/>
      <c r="L4" s="11"/>
      <c r="R4" s="16"/>
      <c r="S4" s="16"/>
    </row>
    <row r="5" spans="1:19" x14ac:dyDescent="0.25">
      <c r="K5" s="26" t="s">
        <v>6</v>
      </c>
      <c r="L5" s="17">
        <v>30</v>
      </c>
      <c r="R5" s="16"/>
      <c r="S5" s="16"/>
    </row>
    <row r="6" spans="1:19" x14ac:dyDescent="0.25">
      <c r="A6" s="35" t="s">
        <v>0</v>
      </c>
      <c r="B6" s="36" t="s">
        <v>1</v>
      </c>
      <c r="C6" s="36"/>
      <c r="D6" s="36"/>
      <c r="F6" s="35" t="s">
        <v>0</v>
      </c>
      <c r="G6" s="36" t="s">
        <v>3</v>
      </c>
      <c r="H6" s="36"/>
      <c r="I6" s="36"/>
      <c r="K6" s="26" t="s">
        <v>7</v>
      </c>
      <c r="L6" s="17">
        <v>40</v>
      </c>
      <c r="R6" s="16"/>
      <c r="S6" s="16"/>
    </row>
    <row r="7" spans="1:19" x14ac:dyDescent="0.25">
      <c r="A7" s="35"/>
      <c r="B7" s="18" t="s">
        <v>51</v>
      </c>
      <c r="C7" s="18" t="s">
        <v>52</v>
      </c>
      <c r="D7" s="18" t="s">
        <v>53</v>
      </c>
      <c r="F7" s="35"/>
      <c r="G7" s="18" t="s">
        <v>51</v>
      </c>
      <c r="H7" s="18" t="s">
        <v>52</v>
      </c>
      <c r="I7" s="18" t="s">
        <v>53</v>
      </c>
      <c r="K7" s="26" t="s">
        <v>8</v>
      </c>
      <c r="L7" s="17">
        <v>50</v>
      </c>
      <c r="R7" s="16"/>
      <c r="S7" s="16"/>
    </row>
    <row r="8" spans="1:19" x14ac:dyDescent="0.25">
      <c r="A8" s="18">
        <v>0</v>
      </c>
      <c r="B8" s="18">
        <v>360</v>
      </c>
      <c r="C8" s="18">
        <v>360</v>
      </c>
      <c r="D8" s="18">
        <v>360</v>
      </c>
      <c r="F8" s="18">
        <v>0</v>
      </c>
      <c r="G8" s="18">
        <v>0</v>
      </c>
      <c r="H8" s="18">
        <v>0</v>
      </c>
      <c r="I8" s="18">
        <v>0</v>
      </c>
      <c r="K8" s="26" t="s">
        <v>9</v>
      </c>
      <c r="L8" s="17">
        <v>60</v>
      </c>
      <c r="R8" s="16"/>
      <c r="S8" s="16"/>
    </row>
    <row r="9" spans="1:19" x14ac:dyDescent="0.25">
      <c r="A9" s="19">
        <v>10</v>
      </c>
      <c r="B9" s="18">
        <v>286</v>
      </c>
      <c r="C9" s="18">
        <v>298</v>
      </c>
      <c r="D9" s="18">
        <v>306</v>
      </c>
      <c r="F9" s="18">
        <v>10</v>
      </c>
      <c r="G9" s="18">
        <v>20.56</v>
      </c>
      <c r="H9" s="18">
        <v>17.22</v>
      </c>
      <c r="I9" s="18">
        <v>15</v>
      </c>
      <c r="K9" s="26" t="s">
        <v>10</v>
      </c>
      <c r="L9" s="17">
        <v>70</v>
      </c>
      <c r="R9" s="16"/>
      <c r="S9" s="16"/>
    </row>
    <row r="10" spans="1:19" x14ac:dyDescent="0.25">
      <c r="A10" s="19">
        <v>20</v>
      </c>
      <c r="B10" s="18">
        <v>246</v>
      </c>
      <c r="C10" s="18">
        <v>270</v>
      </c>
      <c r="D10" s="18">
        <v>274</v>
      </c>
      <c r="F10" s="18">
        <v>20</v>
      </c>
      <c r="G10" s="18">
        <v>31.67</v>
      </c>
      <c r="H10" s="18">
        <v>25</v>
      </c>
      <c r="I10" s="18">
        <v>23.89</v>
      </c>
      <c r="K10" s="26" t="s">
        <v>11</v>
      </c>
      <c r="L10" s="17">
        <v>85</v>
      </c>
      <c r="R10" s="16"/>
      <c r="S10" s="16"/>
    </row>
    <row r="11" spans="1:19" x14ac:dyDescent="0.25">
      <c r="A11" s="19">
        <v>30</v>
      </c>
      <c r="B11" s="18">
        <v>160</v>
      </c>
      <c r="C11" s="18">
        <v>215</v>
      </c>
      <c r="D11" s="18">
        <v>243</v>
      </c>
      <c r="F11" s="18">
        <v>30</v>
      </c>
      <c r="G11" s="18">
        <v>55.56</v>
      </c>
      <c r="H11" s="18">
        <v>40.28</v>
      </c>
      <c r="I11" s="18">
        <v>32.5</v>
      </c>
      <c r="K11" s="26" t="s">
        <v>12</v>
      </c>
      <c r="L11" s="17"/>
    </row>
    <row r="12" spans="1:19" x14ac:dyDescent="0.25">
      <c r="A12" s="19">
        <v>40</v>
      </c>
      <c r="B12" s="18">
        <v>137</v>
      </c>
      <c r="C12" s="18">
        <v>184</v>
      </c>
      <c r="D12" s="18">
        <v>188</v>
      </c>
      <c r="F12" s="18">
        <v>40</v>
      </c>
      <c r="G12" s="18">
        <v>61.94</v>
      </c>
      <c r="H12" s="18">
        <v>48.89</v>
      </c>
      <c r="I12" s="18">
        <v>47.78</v>
      </c>
      <c r="K12" s="26" t="s">
        <v>13</v>
      </c>
      <c r="L12" s="17"/>
    </row>
    <row r="13" spans="1:19" x14ac:dyDescent="0.25">
      <c r="A13" s="19">
        <v>50</v>
      </c>
      <c r="B13" s="18">
        <v>78</v>
      </c>
      <c r="C13" s="18">
        <v>118</v>
      </c>
      <c r="D13" s="18">
        <v>152</v>
      </c>
      <c r="F13" s="18">
        <v>50</v>
      </c>
      <c r="G13" s="18">
        <v>78.33</v>
      </c>
      <c r="H13" s="18">
        <v>67.22</v>
      </c>
      <c r="I13" s="18">
        <v>57.78</v>
      </c>
      <c r="K13" s="26" t="s">
        <v>14</v>
      </c>
      <c r="L13" s="17"/>
    </row>
    <row r="14" spans="1:19" x14ac:dyDescent="0.25">
      <c r="A14" s="19">
        <v>60</v>
      </c>
      <c r="B14" s="18">
        <v>43</v>
      </c>
      <c r="C14" s="18">
        <v>86</v>
      </c>
      <c r="D14" s="18">
        <v>102</v>
      </c>
      <c r="F14" s="18">
        <v>60</v>
      </c>
      <c r="G14" s="18">
        <v>88.06</v>
      </c>
      <c r="H14" s="18">
        <v>76.11</v>
      </c>
      <c r="I14" s="18">
        <v>71.67</v>
      </c>
      <c r="K14" s="26" t="s">
        <v>15</v>
      </c>
      <c r="L14" s="17"/>
      <c r="R14" s="20"/>
      <c r="S14" s="20"/>
    </row>
    <row r="15" spans="1:19" x14ac:dyDescent="0.25">
      <c r="A15" s="19">
        <v>70</v>
      </c>
      <c r="B15" s="18">
        <v>31</v>
      </c>
      <c r="C15" s="18">
        <v>55</v>
      </c>
      <c r="D15" s="18">
        <v>74</v>
      </c>
      <c r="F15" s="18">
        <v>70</v>
      </c>
      <c r="G15" s="18">
        <v>91.39</v>
      </c>
      <c r="H15" s="18">
        <v>84.72</v>
      </c>
      <c r="I15" s="18">
        <v>79.44</v>
      </c>
      <c r="L15" s="21"/>
      <c r="R15" s="20"/>
      <c r="S15" s="22"/>
    </row>
    <row r="16" spans="1:19" x14ac:dyDescent="0.25">
      <c r="A16" s="19">
        <v>80</v>
      </c>
      <c r="B16" s="18">
        <v>0</v>
      </c>
      <c r="C16" s="18">
        <v>35</v>
      </c>
      <c r="D16" s="18">
        <v>47</v>
      </c>
      <c r="F16" s="18">
        <v>80</v>
      </c>
      <c r="G16" s="18">
        <v>100</v>
      </c>
      <c r="H16" s="18">
        <v>90.28</v>
      </c>
      <c r="I16" s="18">
        <v>86.94</v>
      </c>
      <c r="K16" s="27" t="s">
        <v>31</v>
      </c>
      <c r="L16" s="28" t="s">
        <v>0</v>
      </c>
      <c r="M16" s="27" t="s">
        <v>33</v>
      </c>
      <c r="N16" s="28" t="s">
        <v>32</v>
      </c>
      <c r="O16" s="24"/>
      <c r="P16" s="24"/>
      <c r="R16" s="20"/>
      <c r="S16" s="20"/>
    </row>
    <row r="17" spans="1:19" x14ac:dyDescent="0.25">
      <c r="A17" s="19"/>
      <c r="B17" s="18"/>
      <c r="C17" s="18"/>
      <c r="D17" s="18"/>
      <c r="F17" s="18"/>
      <c r="G17" s="18"/>
      <c r="H17" s="18"/>
      <c r="I17" s="18"/>
      <c r="K17" s="18">
        <v>30</v>
      </c>
      <c r="L17" s="23">
        <v>27.096399999999999</v>
      </c>
      <c r="M17" s="18">
        <v>6.6429488788178501</v>
      </c>
      <c r="N17" s="18">
        <v>40.606511238293379</v>
      </c>
      <c r="O17" s="24"/>
      <c r="P17" s="24"/>
      <c r="R17" s="20"/>
      <c r="S17" s="20"/>
    </row>
    <row r="18" spans="1:19" x14ac:dyDescent="0.25">
      <c r="A18" s="18"/>
      <c r="B18" s="18"/>
      <c r="C18" s="18"/>
      <c r="D18" s="18"/>
      <c r="F18" s="18"/>
      <c r="G18" s="18"/>
      <c r="H18" s="18"/>
      <c r="I18" s="18"/>
      <c r="K18" s="18">
        <v>40</v>
      </c>
      <c r="L18" s="23">
        <v>34.9084</v>
      </c>
      <c r="M18" s="18">
        <v>5.1563520528010445</v>
      </c>
      <c r="N18" s="18">
        <v>51.006643167967802</v>
      </c>
      <c r="O18" s="24"/>
      <c r="P18" s="24"/>
    </row>
    <row r="19" spans="1:19" x14ac:dyDescent="0.25">
      <c r="A19" s="18"/>
      <c r="B19" s="18"/>
      <c r="C19" s="18"/>
      <c r="D19" s="18"/>
      <c r="F19" s="18"/>
      <c r="G19" s="18"/>
      <c r="H19" s="18"/>
      <c r="I19" s="18"/>
      <c r="K19" s="18">
        <v>50</v>
      </c>
      <c r="L19" s="23">
        <v>42.22</v>
      </c>
      <c r="M19" s="18">
        <v>4.2633822832780677</v>
      </c>
      <c r="N19" s="18">
        <v>61.472489209281171</v>
      </c>
      <c r="O19" s="24"/>
      <c r="P19" s="24"/>
    </row>
    <row r="20" spans="1:19" x14ac:dyDescent="0.25">
      <c r="A20" s="18"/>
      <c r="B20" s="18"/>
      <c r="C20" s="18"/>
      <c r="D20" s="18"/>
      <c r="F20" s="18"/>
      <c r="G20" s="18"/>
      <c r="H20" s="18"/>
      <c r="I20" s="18"/>
      <c r="K20" s="18">
        <v>60</v>
      </c>
      <c r="L20" s="23">
        <v>51.598300000000002</v>
      </c>
      <c r="M20" s="18">
        <v>3.4884870237972954</v>
      </c>
      <c r="N20" s="18">
        <v>72.938689685805457</v>
      </c>
      <c r="O20" s="24"/>
      <c r="P20" s="24"/>
    </row>
    <row r="21" spans="1:19" x14ac:dyDescent="0.25">
      <c r="A21" s="15"/>
      <c r="B21" s="15"/>
      <c r="C21" s="15"/>
      <c r="D21" s="15"/>
      <c r="E21" s="24"/>
      <c r="F21" s="15"/>
      <c r="G21" s="15"/>
      <c r="H21" s="15"/>
      <c r="I21" s="15"/>
      <c r="K21" s="18">
        <v>70</v>
      </c>
      <c r="L21" s="23">
        <v>58.797699999999999</v>
      </c>
      <c r="M21" s="18">
        <v>3.0613442362541394</v>
      </c>
      <c r="N21" s="18">
        <v>85</v>
      </c>
      <c r="O21" s="24"/>
      <c r="P21" s="24"/>
    </row>
    <row r="22" spans="1:19" x14ac:dyDescent="0.25">
      <c r="A22" s="15"/>
      <c r="B22" s="15"/>
      <c r="C22" s="15"/>
      <c r="D22" s="15"/>
      <c r="E22" s="24"/>
      <c r="F22" s="15"/>
      <c r="G22" s="15"/>
      <c r="H22" s="15"/>
      <c r="K22" s="18">
        <v>85</v>
      </c>
      <c r="L22" s="18">
        <v>77.413300000000007</v>
      </c>
      <c r="M22" s="18">
        <v>2.3251818485970754</v>
      </c>
      <c r="N22" s="18">
        <v>100</v>
      </c>
    </row>
    <row r="23" spans="1:19" x14ac:dyDescent="0.25">
      <c r="A23" s="15"/>
      <c r="B23" s="15"/>
      <c r="C23" s="15"/>
      <c r="D23" s="15"/>
      <c r="E23" s="24"/>
      <c r="F23" s="15"/>
      <c r="G23" s="15"/>
      <c r="H23" s="15"/>
      <c r="I23" s="15"/>
      <c r="K23" s="18"/>
      <c r="L23" s="18"/>
      <c r="M23" s="18"/>
      <c r="N23" s="18"/>
      <c r="O23" s="20"/>
      <c r="P23" s="20"/>
    </row>
    <row r="24" spans="1:19" x14ac:dyDescent="0.25">
      <c r="A24" s="15"/>
      <c r="B24" s="15"/>
      <c r="C24" s="24"/>
      <c r="D24" s="15"/>
      <c r="E24" s="24"/>
      <c r="F24" s="15"/>
      <c r="G24" s="15"/>
      <c r="H24" s="15"/>
      <c r="I24" s="15"/>
      <c r="K24" s="23"/>
      <c r="L24" s="23"/>
      <c r="M24" s="23"/>
      <c r="N24" s="23"/>
      <c r="O24" s="22"/>
      <c r="P24" s="22"/>
    </row>
    <row r="25" spans="1:19" x14ac:dyDescent="0.25">
      <c r="A25" s="15"/>
      <c r="B25" s="15"/>
      <c r="C25" s="24"/>
      <c r="D25" s="15"/>
      <c r="E25" s="24"/>
      <c r="F25" s="15"/>
      <c r="G25" s="15"/>
      <c r="H25" s="15"/>
      <c r="I25" s="15"/>
      <c r="K25" s="18"/>
      <c r="L25" s="18"/>
      <c r="M25" s="18"/>
      <c r="N25" s="18"/>
      <c r="O25" s="20"/>
      <c r="P25" s="20"/>
    </row>
    <row r="26" spans="1:19" x14ac:dyDescent="0.25">
      <c r="A26" s="15"/>
      <c r="B26" s="15"/>
      <c r="C26" s="24"/>
      <c r="D26" s="15"/>
      <c r="E26" s="24"/>
      <c r="F26" s="15"/>
      <c r="G26" s="15"/>
      <c r="H26" s="15"/>
      <c r="I26" s="15"/>
      <c r="K26" s="18"/>
      <c r="L26" s="18"/>
      <c r="M26" s="18"/>
      <c r="N26" s="18"/>
      <c r="O26" s="20"/>
      <c r="P26" s="20"/>
    </row>
    <row r="27" spans="1:19" x14ac:dyDescent="0.25">
      <c r="A27" s="15"/>
      <c r="B27" s="15"/>
      <c r="C27" s="24"/>
      <c r="D27" s="15"/>
      <c r="E27" s="24"/>
      <c r="F27" s="15"/>
      <c r="G27" s="15"/>
      <c r="H27" s="15"/>
      <c r="I27" s="15"/>
      <c r="K27" s="15"/>
      <c r="L27" s="15"/>
      <c r="M27" s="15"/>
      <c r="N27" s="15"/>
      <c r="O27" s="20"/>
      <c r="P27" s="20"/>
    </row>
    <row r="28" spans="1:19" x14ac:dyDescent="0.25">
      <c r="A28" s="15"/>
      <c r="B28" s="15"/>
      <c r="C28" s="24"/>
      <c r="D28" s="15"/>
      <c r="E28" s="24"/>
      <c r="F28" s="15"/>
      <c r="G28" s="15"/>
      <c r="H28" s="15"/>
      <c r="I28" s="15"/>
      <c r="K28" s="15"/>
      <c r="L28" s="15"/>
      <c r="M28" s="15"/>
      <c r="N28" s="15"/>
      <c r="O28" s="20"/>
      <c r="P28" s="20"/>
    </row>
    <row r="29" spans="1:19" x14ac:dyDescent="0.25">
      <c r="A29" s="15"/>
      <c r="B29" s="15"/>
      <c r="C29" s="24"/>
      <c r="D29" s="15"/>
      <c r="E29" s="24"/>
      <c r="F29" s="15"/>
      <c r="G29" s="15"/>
      <c r="H29" s="15"/>
      <c r="I29" s="15"/>
      <c r="K29" s="20"/>
      <c r="L29" s="20"/>
      <c r="M29" s="20"/>
      <c r="N29" s="20"/>
      <c r="O29" s="20"/>
      <c r="P29" s="20"/>
    </row>
    <row r="30" spans="1:19" x14ac:dyDescent="0.25">
      <c r="A30" s="15"/>
      <c r="B30" s="15"/>
      <c r="C30" s="15"/>
      <c r="D30" s="15"/>
      <c r="E30" s="24"/>
      <c r="F30" s="15"/>
      <c r="G30" s="15"/>
      <c r="H30" s="15"/>
      <c r="I30" s="15"/>
      <c r="K30" s="20"/>
      <c r="L30" s="20"/>
      <c r="M30" s="20"/>
      <c r="N30" s="20"/>
      <c r="O30" s="20"/>
      <c r="P30" s="20"/>
    </row>
    <row r="31" spans="1:19" x14ac:dyDescent="0.25">
      <c r="A31" s="15"/>
      <c r="B31" s="15"/>
      <c r="C31" s="15"/>
      <c r="D31" s="15"/>
      <c r="E31" s="24"/>
      <c r="F31" s="15"/>
      <c r="G31" s="15"/>
      <c r="H31" s="15"/>
      <c r="I31" s="15"/>
      <c r="K31" s="20"/>
      <c r="L31" s="20"/>
      <c r="M31" s="20"/>
      <c r="N31" s="20"/>
      <c r="O31" s="20"/>
      <c r="P31" s="20"/>
    </row>
    <row r="32" spans="1:19" x14ac:dyDescent="0.25">
      <c r="A32" s="15"/>
      <c r="B32" s="15"/>
      <c r="C32" s="15"/>
      <c r="D32" s="15"/>
      <c r="E32" s="24"/>
      <c r="F32" s="15"/>
      <c r="G32" s="15"/>
      <c r="H32" s="15"/>
      <c r="I32" s="15"/>
    </row>
    <row r="33" spans="1:9" x14ac:dyDescent="0.25">
      <c r="A33" s="11"/>
      <c r="B33" s="11"/>
      <c r="C33" s="11"/>
      <c r="D33" s="11"/>
      <c r="G33" s="15"/>
      <c r="H33" s="15"/>
      <c r="I33" s="15"/>
    </row>
    <row r="34" spans="1:9" x14ac:dyDescent="0.25">
      <c r="A34" s="11"/>
      <c r="B34" s="11"/>
      <c r="C34" s="11"/>
      <c r="D34" s="11"/>
      <c r="G34" s="15"/>
      <c r="H34" s="15"/>
      <c r="I34" s="15"/>
    </row>
    <row r="35" spans="1:9" x14ac:dyDescent="0.25">
      <c r="A35" s="11"/>
      <c r="B35" s="11"/>
      <c r="C35" s="11"/>
      <c r="D35" s="11"/>
      <c r="G35" s="15"/>
      <c r="H35" s="15"/>
      <c r="I35" s="15"/>
    </row>
    <row r="36" spans="1:9" x14ac:dyDescent="0.25">
      <c r="A36" s="11"/>
      <c r="B36" s="11"/>
      <c r="C36" s="11"/>
      <c r="D36" s="11"/>
      <c r="G36" s="15"/>
      <c r="H36" s="15"/>
      <c r="I36" s="15"/>
    </row>
    <row r="37" spans="1:9" x14ac:dyDescent="0.25">
      <c r="A37" s="11"/>
      <c r="B37" s="11"/>
      <c r="C37" s="11"/>
      <c r="D37" s="11"/>
      <c r="G37" s="15"/>
      <c r="H37" s="15"/>
      <c r="I37" s="15"/>
    </row>
    <row r="38" spans="1:9" x14ac:dyDescent="0.25">
      <c r="A38" s="11"/>
      <c r="B38" s="11"/>
      <c r="C38" s="11"/>
      <c r="D38" s="11"/>
      <c r="G38" s="15"/>
      <c r="H38" s="15"/>
      <c r="I38" s="15"/>
    </row>
    <row r="39" spans="1:9" x14ac:dyDescent="0.25">
      <c r="A39" s="11"/>
      <c r="B39" s="11"/>
      <c r="C39" s="11"/>
      <c r="D39" s="11"/>
      <c r="G39" s="25"/>
      <c r="H39" s="15"/>
      <c r="I39" s="15"/>
    </row>
    <row r="40" spans="1:9" x14ac:dyDescent="0.25">
      <c r="A40" s="11"/>
      <c r="B40" s="11"/>
      <c r="C40" s="11"/>
      <c r="D40" s="11"/>
      <c r="G40" s="15"/>
      <c r="H40" s="15"/>
      <c r="I40" s="15"/>
    </row>
    <row r="41" spans="1:9" x14ac:dyDescent="0.25">
      <c r="A41" s="11"/>
      <c r="B41" s="11"/>
      <c r="C41" s="11"/>
      <c r="D41" s="11"/>
      <c r="G41" s="15"/>
      <c r="H41" s="15"/>
      <c r="I41" s="15"/>
    </row>
    <row r="42" spans="1:9" x14ac:dyDescent="0.25">
      <c r="A42" s="11"/>
      <c r="B42" s="11"/>
      <c r="C42" s="11"/>
      <c r="D42" s="11"/>
      <c r="G42" s="15"/>
      <c r="H42" s="15"/>
    </row>
    <row r="43" spans="1:9" x14ac:dyDescent="0.25">
      <c r="A43" s="11"/>
      <c r="B43" s="11"/>
      <c r="C43" s="11"/>
      <c r="D43" s="11"/>
      <c r="G43" s="15"/>
      <c r="H43" s="15"/>
    </row>
    <row r="44" spans="1:9" x14ac:dyDescent="0.25">
      <c r="A44" s="11"/>
      <c r="B44" s="11"/>
      <c r="C44" s="11"/>
      <c r="D44" s="11"/>
      <c r="G44" s="15"/>
      <c r="H44" s="15"/>
    </row>
    <row r="45" spans="1:9" x14ac:dyDescent="0.25">
      <c r="A45" s="11"/>
      <c r="B45" s="11"/>
      <c r="C45" s="11"/>
      <c r="D45" s="11"/>
      <c r="G45" s="15"/>
      <c r="H45" s="15"/>
    </row>
    <row r="46" spans="1:9" x14ac:dyDescent="0.25">
      <c r="A46" s="11"/>
      <c r="B46" s="11"/>
      <c r="C46" s="11"/>
      <c r="D46" s="11"/>
    </row>
    <row r="47" spans="1:9" x14ac:dyDescent="0.25">
      <c r="A47" s="11"/>
      <c r="B47" s="11"/>
      <c r="C47" s="11"/>
      <c r="D47" s="11"/>
    </row>
    <row r="48" spans="1:9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</sheetData>
  <sheetProtection autoFilter="0"/>
  <sortState ref="L5:L14">
    <sortCondition ref="L5"/>
  </sortState>
  <mergeCells count="8">
    <mergeCell ref="A1:O1"/>
    <mergeCell ref="K3:N3"/>
    <mergeCell ref="A6:A7"/>
    <mergeCell ref="B6:D6"/>
    <mergeCell ref="A3:C3"/>
    <mergeCell ref="A4:C4"/>
    <mergeCell ref="F6:F7"/>
    <mergeCell ref="G6:I6"/>
  </mergeCells>
  <dataValidations count="1">
    <dataValidation type="list" allowBlank="1" showInputMessage="1" showErrorMessage="1" sqref="O3">
      <formula1>"6,7,8,9,10"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locked="0" defaultSize="0" print="0" autoFill="0" autoPict="0" macro="[0]!ensaio_sedimentacao">
                <anchor moveWithCells="1" sizeWithCells="1">
                  <from>
                    <xdr:col>12</xdr:col>
                    <xdr:colOff>447675</xdr:colOff>
                    <xdr:row>7</xdr:row>
                    <xdr:rowOff>0</xdr:rowOff>
                  </from>
                  <to>
                    <xdr:col>15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17"/>
  <sheetViews>
    <sheetView zoomScaleNormal="100" workbookViewId="0">
      <selection activeCell="B14" sqref="B14"/>
    </sheetView>
  </sheetViews>
  <sheetFormatPr defaultRowHeight="15" x14ac:dyDescent="0.25"/>
  <cols>
    <col min="4" max="4" width="10.42578125" customWidth="1"/>
    <col min="5" max="5" width="11.7109375" bestFit="1" customWidth="1"/>
    <col min="6" max="6" width="13.28515625" bestFit="1" customWidth="1"/>
    <col min="7" max="7" width="12" bestFit="1" customWidth="1"/>
    <col min="8" max="14" width="13.28515625" bestFit="1" customWidth="1"/>
    <col min="15" max="15" width="11.28515625" bestFit="1" customWidth="1"/>
  </cols>
  <sheetData>
    <row r="1" spans="1:17" x14ac:dyDescent="0.25">
      <c r="A1" t="s">
        <v>18</v>
      </c>
      <c r="D1" t="s">
        <v>19</v>
      </c>
      <c r="G1" t="s">
        <v>20</v>
      </c>
      <c r="J1" t="s">
        <v>21</v>
      </c>
      <c r="M1" t="s">
        <v>22</v>
      </c>
      <c r="P1" t="s">
        <v>23</v>
      </c>
    </row>
    <row r="2" spans="1:17" x14ac:dyDescent="0.25">
      <c r="A2" t="s">
        <v>16</v>
      </c>
      <c r="B2" t="s">
        <v>17</v>
      </c>
      <c r="D2" t="s">
        <v>16</v>
      </c>
      <c r="E2" t="s">
        <v>17</v>
      </c>
      <c r="G2" t="s">
        <v>16</v>
      </c>
      <c r="H2" t="s">
        <v>17</v>
      </c>
      <c r="J2" t="s">
        <v>16</v>
      </c>
      <c r="K2" t="s">
        <v>17</v>
      </c>
      <c r="M2" t="s">
        <v>16</v>
      </c>
      <c r="N2" t="s">
        <v>17</v>
      </c>
      <c r="P2" t="s">
        <v>16</v>
      </c>
      <c r="Q2" t="s">
        <v>17</v>
      </c>
    </row>
    <row r="3" spans="1:17" x14ac:dyDescent="0.25">
      <c r="A3">
        <v>0</v>
      </c>
      <c r="B3">
        <v>90</v>
      </c>
      <c r="D3">
        <v>0</v>
      </c>
      <c r="E3">
        <v>90</v>
      </c>
      <c r="G3">
        <v>0</v>
      </c>
      <c r="H3">
        <v>90</v>
      </c>
      <c r="J3">
        <v>0</v>
      </c>
      <c r="K3">
        <v>90</v>
      </c>
      <c r="M3">
        <v>0</v>
      </c>
      <c r="N3">
        <v>90</v>
      </c>
      <c r="P3">
        <v>0</v>
      </c>
      <c r="Q3">
        <v>90</v>
      </c>
    </row>
    <row r="4" spans="1:17" x14ac:dyDescent="0.25">
      <c r="A4">
        <v>18.4968</v>
      </c>
      <c r="B4">
        <v>60</v>
      </c>
      <c r="D4">
        <v>23.486799999999999</v>
      </c>
      <c r="E4">
        <v>60</v>
      </c>
      <c r="G4">
        <v>27.672699999999999</v>
      </c>
      <c r="H4">
        <v>60</v>
      </c>
      <c r="J4">
        <v>36.959200000000003</v>
      </c>
      <c r="K4">
        <v>60</v>
      </c>
      <c r="M4">
        <v>44.9176</v>
      </c>
      <c r="N4">
        <v>60</v>
      </c>
      <c r="P4">
        <v>56.8551</v>
      </c>
      <c r="Q4">
        <v>60</v>
      </c>
    </row>
    <row r="5" spans="1:17" x14ac:dyDescent="0.25">
      <c r="A5">
        <v>23.272300000000001</v>
      </c>
      <c r="B5">
        <v>30</v>
      </c>
      <c r="D5">
        <v>29.816800000000001</v>
      </c>
      <c r="E5">
        <v>30</v>
      </c>
      <c r="G5">
        <v>40.605600000000003</v>
      </c>
      <c r="H5">
        <v>30</v>
      </c>
      <c r="J5">
        <v>46.061100000000003</v>
      </c>
      <c r="K5">
        <v>30</v>
      </c>
      <c r="M5">
        <v>53.127099999999999</v>
      </c>
      <c r="N5">
        <v>30</v>
      </c>
      <c r="P5">
        <v>70.503600000000006</v>
      </c>
      <c r="Q5">
        <v>30</v>
      </c>
    </row>
    <row r="6" spans="1:17" x14ac:dyDescent="0.25">
      <c r="A6">
        <v>27.096399999999999</v>
      </c>
      <c r="B6">
        <v>0</v>
      </c>
      <c r="D6">
        <v>34.9084</v>
      </c>
      <c r="E6">
        <v>0</v>
      </c>
      <c r="G6">
        <v>42.22</v>
      </c>
      <c r="H6">
        <v>0</v>
      </c>
      <c r="J6">
        <v>51.598300000000002</v>
      </c>
      <c r="K6">
        <v>0</v>
      </c>
      <c r="M6">
        <v>58.797699999999999</v>
      </c>
      <c r="N6">
        <v>0</v>
      </c>
      <c r="P6">
        <v>77.413300000000007</v>
      </c>
      <c r="Q6">
        <v>0</v>
      </c>
    </row>
    <row r="7" spans="1:17" x14ac:dyDescent="0.25">
      <c r="A7">
        <v>30</v>
      </c>
    </row>
    <row r="8" spans="1:17" x14ac:dyDescent="0.25">
      <c r="A8" s="1" t="s">
        <v>24</v>
      </c>
      <c r="B8">
        <v>40.606511238293379</v>
      </c>
      <c r="C8" s="2"/>
      <c r="F8" t="s">
        <v>57</v>
      </c>
      <c r="G8" t="s">
        <v>58</v>
      </c>
      <c r="H8" t="s">
        <v>59</v>
      </c>
      <c r="I8" t="s">
        <v>60</v>
      </c>
      <c r="J8" t="s">
        <v>61</v>
      </c>
      <c r="K8" t="s">
        <v>62</v>
      </c>
    </row>
    <row r="9" spans="1:17" x14ac:dyDescent="0.25">
      <c r="A9" s="1" t="s">
        <v>25</v>
      </c>
      <c r="B9">
        <v>51.006643167967802</v>
      </c>
      <c r="E9" t="s">
        <v>49</v>
      </c>
      <c r="F9">
        <f>(_xll.SRS1Splines.Functions25.OneWay_Spline(D3:D6,E3:E6,A6))/A7</f>
        <v>1.4971505883470766</v>
      </c>
    </row>
    <row r="10" spans="1:17" x14ac:dyDescent="0.25">
      <c r="A10" s="1" t="s">
        <v>26</v>
      </c>
      <c r="B10">
        <v>61.472489209281171</v>
      </c>
      <c r="E10" t="s">
        <v>54</v>
      </c>
      <c r="F10">
        <f>(((_xll.SRS1Splines.Functions25.OneWay_Spline(G3:G6,H3:H6,A6))/A7) - F9)</f>
        <v>0.53951365001101004</v>
      </c>
      <c r="G10">
        <f>(_xll.SRS1Splines.Functions25.OneWay_Spline(G3:G6,H3:H6,D6))/A7</f>
        <v>1.5968295501430334</v>
      </c>
    </row>
    <row r="11" spans="1:17" x14ac:dyDescent="0.25">
      <c r="A11" s="1" t="s">
        <v>27</v>
      </c>
      <c r="B11">
        <v>72.938689685805457</v>
      </c>
      <c r="E11" t="s">
        <v>50</v>
      </c>
      <c r="F11">
        <f>(((_xll.SRS1Splines.Functions25.OneWay_Spline(J3:J6,K3:K6,A6))/A7) - (F10 + F9))</f>
        <v>0.42583626075813008</v>
      </c>
      <c r="G11">
        <f>(((_xll.SRS1Splines.Functions25.OneWay_Spline(J3:J6,K3:K6,D6))/A7) - G10)</f>
        <v>0.51106793602187306</v>
      </c>
      <c r="H11">
        <f>(_xll.SRS1Splines.Functions25.OneWay_Spline(J3:J6,K3:K6,G6))/A7</f>
        <v>1.5306773177175133</v>
      </c>
    </row>
    <row r="12" spans="1:17" x14ac:dyDescent="0.25">
      <c r="A12" s="1" t="s">
        <v>28</v>
      </c>
      <c r="B12">
        <v>85</v>
      </c>
      <c r="E12" t="s">
        <v>55</v>
      </c>
      <c r="F12">
        <f>(((_xll.SRS1Splines.Functions25.OneWay_Spline(M3:M6,N3:N6,A6))/A7) - (F11 + F10 + F9))</f>
        <v>0.17359275790775364</v>
      </c>
      <c r="G12">
        <f>(((_xll.SRS1Splines.Functions25.OneWay_Spline(M3:M6,N3:N6,D6))/A7) - (G11+G10))</f>
        <v>0.2881166130544135</v>
      </c>
      <c r="H12">
        <f>(((_xll.SRS1Splines.Functions25.OneWay_Spline(M3:M6,N3:N6,G6))/A7) - H11)</f>
        <v>0.58582915671378655</v>
      </c>
      <c r="I12">
        <f>(_xll.SRS1Splines.Functions25.OneWay_Spline(M3:M6,N3:N6,J6))/A7</f>
        <v>1.2367861885167268</v>
      </c>
    </row>
    <row r="13" spans="1:17" x14ac:dyDescent="0.25">
      <c r="A13" s="1" t="s">
        <v>29</v>
      </c>
      <c r="B13">
        <v>100</v>
      </c>
      <c r="E13" t="s">
        <v>56</v>
      </c>
      <c r="F13">
        <f>(((_xll.SRS1Splines.Functions25.OneWay_Spline(P3:P6,Q3:Q6,A6))/A7) - (F12 + F11 + F10 + F9))</f>
        <v>0.13677160028711288</v>
      </c>
      <c r="G13">
        <f>(((_xll.SRS1Splines.Functions25.OneWay_Spline(P3:P6,Q3:Q6,D6))/A7) - (G12 + G11+ G10))</f>
        <v>0.2270035381181934</v>
      </c>
      <c r="H13">
        <f>(((_xll.SRS1Splines.Functions25.OneWay_Spline(P3:P6,Q3:Q6,G6))/A7) - (H12+H11))</f>
        <v>0.33205436741053695</v>
      </c>
      <c r="I13">
        <f>(((_xll.SRS1Splines.Functions25.OneWay_Spline(P3:P6,Q3:Q6,J6))/A7) - I12)</f>
        <v>0.9395842401096266</v>
      </c>
      <c r="J13">
        <f>(_xll.SRS1Splines.Functions25.OneWay_Spline(P3:P6,Q3:Q6,M6))/A7</f>
        <v>1.9233498923337033</v>
      </c>
    </row>
    <row r="14" spans="1:17" x14ac:dyDescent="0.25">
      <c r="E14" t="s">
        <v>30</v>
      </c>
      <c r="F14">
        <v>0.22713514268891677</v>
      </c>
      <c r="G14">
        <v>0.37698236266248664</v>
      </c>
      <c r="H14">
        <v>0.55143915815816325</v>
      </c>
      <c r="I14">
        <v>0.82362957137364656</v>
      </c>
      <c r="J14">
        <v>1.0766501076662967</v>
      </c>
      <c r="K14">
        <v>3</v>
      </c>
    </row>
    <row r="17" spans="7:10" x14ac:dyDescent="0.25">
      <c r="G17" s="1"/>
      <c r="H17" s="1"/>
      <c r="I17" s="1"/>
      <c r="J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V15"/>
  <sheetViews>
    <sheetView zoomScaleNormal="100" workbookViewId="0">
      <selection sqref="A1:T1"/>
    </sheetView>
  </sheetViews>
  <sheetFormatPr defaultRowHeight="15" x14ac:dyDescent="0.25"/>
  <cols>
    <col min="1" max="1" width="9.28515625" customWidth="1"/>
    <col min="16" max="16" width="11.85546875" customWidth="1"/>
    <col min="17" max="17" width="11.42578125" customWidth="1"/>
    <col min="18" max="18" width="8.7109375" customWidth="1"/>
    <col min="19" max="19" width="12" bestFit="1" customWidth="1"/>
  </cols>
  <sheetData>
    <row r="1" spans="1:542" ht="18.75" x14ac:dyDescent="0.3">
      <c r="A1" s="38" t="s">
        <v>35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542" x14ac:dyDescent="0.25">
      <c r="A3" s="3" t="s">
        <v>33</v>
      </c>
      <c r="B3" s="3" t="s">
        <v>36</v>
      </c>
      <c r="D3">
        <v>44.128769806587329</v>
      </c>
      <c r="E3">
        <v>6.6429488788178501</v>
      </c>
      <c r="F3">
        <v>1</v>
      </c>
      <c r="R3" s="3" t="s">
        <v>33</v>
      </c>
      <c r="S3" s="3" t="s">
        <v>36</v>
      </c>
    </row>
    <row r="4" spans="1:542" x14ac:dyDescent="0.25">
      <c r="A4">
        <v>6.6429488788178501</v>
      </c>
      <c r="B4">
        <v>40.606511238293379</v>
      </c>
      <c r="D4">
        <v>18.176428493369311</v>
      </c>
      <c r="E4">
        <v>4.2633822832780677</v>
      </c>
      <c r="F4">
        <v>1</v>
      </c>
      <c r="R4" s="5">
        <v>6.6429488788178501</v>
      </c>
      <c r="S4" s="5">
        <v>40.606511238293365</v>
      </c>
    </row>
    <row r="5" spans="1:542" x14ac:dyDescent="0.25">
      <c r="A5">
        <v>5.1563520528010445</v>
      </c>
      <c r="B5">
        <v>51.006643167967802</v>
      </c>
      <c r="D5">
        <v>5.4064706290453133</v>
      </c>
      <c r="E5">
        <v>2.3251818485970754</v>
      </c>
      <c r="F5">
        <v>1</v>
      </c>
      <c r="R5" s="5">
        <v>5.1563520528010445</v>
      </c>
      <c r="S5" s="5">
        <v>50.226719283730418</v>
      </c>
    </row>
    <row r="6" spans="1:542" x14ac:dyDescent="0.25">
      <c r="A6">
        <v>4.2633822832780677</v>
      </c>
      <c r="B6">
        <v>61.472489209281171</v>
      </c>
      <c r="R6" s="4">
        <v>4.7367420528169299</v>
      </c>
      <c r="S6" s="4">
        <v>55.000105375043375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</row>
    <row r="7" spans="1:542" x14ac:dyDescent="0.25">
      <c r="A7">
        <v>3.4884870237972954</v>
      </c>
      <c r="B7">
        <v>72.938689685805457</v>
      </c>
      <c r="D7">
        <f t="array" ref="D7:F9">MINVERSE(D3:F5)</f>
        <v>9.7329149990484407E-2</v>
      </c>
      <c r="E7">
        <v>-0.21682205172835695</v>
      </c>
      <c r="F7">
        <v>0.11949290173787261</v>
      </c>
      <c r="H7">
        <v>40.606511238293379</v>
      </c>
      <c r="R7" s="5">
        <v>4.2633822832780677</v>
      </c>
      <c r="S7" s="5">
        <v>61.472489209281122</v>
      </c>
    </row>
    <row r="8" spans="1:542" x14ac:dyDescent="0.25">
      <c r="A8">
        <v>3.0613442362541394</v>
      </c>
      <c r="B8">
        <v>85</v>
      </c>
      <c r="D8">
        <v>-0.64125934661320139</v>
      </c>
      <c r="E8">
        <v>1.9444885044862263</v>
      </c>
      <c r="F8">
        <v>-1.3032291578730251</v>
      </c>
      <c r="H8">
        <v>61.472489209281171</v>
      </c>
      <c r="R8" s="5">
        <v>3.4884870237972954</v>
      </c>
      <c r="S8" s="5">
        <v>74.556531549318095</v>
      </c>
    </row>
    <row r="9" spans="1:542" x14ac:dyDescent="0.25">
      <c r="A9">
        <v>2.3251818485970754</v>
      </c>
      <c r="B9">
        <v>100</v>
      </c>
      <c r="D9">
        <v>0.96483740221473657</v>
      </c>
      <c r="E9">
        <v>-3.3490473210383414</v>
      </c>
      <c r="F9">
        <v>3.3842099188236041</v>
      </c>
      <c r="H9">
        <v>100</v>
      </c>
      <c r="R9" s="5">
        <v>3.0613442362541394</v>
      </c>
      <c r="S9" s="5">
        <v>83.089834822083844</v>
      </c>
    </row>
    <row r="10" spans="1:542" x14ac:dyDescent="0.25">
      <c r="R10" s="5">
        <v>2.3251818485970754</v>
      </c>
      <c r="S10" s="5">
        <v>99.999999999999943</v>
      </c>
    </row>
    <row r="11" spans="1:542" x14ac:dyDescent="0.25">
      <c r="D11">
        <f t="array" ref="D11:D13">MMULT(D7:F9,H7:H9)</f>
        <v>2.5728961614837811</v>
      </c>
      <c r="R11" s="5"/>
      <c r="S11" s="5"/>
    </row>
    <row r="12" spans="1:542" x14ac:dyDescent="0.25">
      <c r="D12">
        <v>-36.829672042611321</v>
      </c>
      <c r="R12" s="5"/>
      <c r="S12" s="5"/>
    </row>
    <row r="13" spans="1:542" x14ac:dyDescent="0.25">
      <c r="D13">
        <v>171.72539739461746</v>
      </c>
      <c r="R13" s="5"/>
      <c r="S13" s="5"/>
    </row>
    <row r="14" spans="1:542" x14ac:dyDescent="0.25">
      <c r="R14" s="5"/>
      <c r="S14" s="5"/>
    </row>
    <row r="15" spans="1:542" x14ac:dyDescent="0.25">
      <c r="R15" s="4"/>
      <c r="S15" s="4"/>
    </row>
  </sheetData>
  <sortState ref="R4:S14">
    <sortCondition descending="1" ref="R4"/>
  </sortState>
  <mergeCells count="1">
    <mergeCell ref="A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6"/>
  <sheetViews>
    <sheetView zoomScaleNormal="100" workbookViewId="0">
      <selection sqref="A1:T1"/>
    </sheetView>
  </sheetViews>
  <sheetFormatPr defaultRowHeight="15" x14ac:dyDescent="0.25"/>
  <sheetData>
    <row r="1" spans="1:20" ht="18.75" x14ac:dyDescent="0.3">
      <c r="A1" s="38" t="s">
        <v>37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20" x14ac:dyDescent="0.25">
      <c r="A3" s="3" t="s">
        <v>33</v>
      </c>
      <c r="B3" s="3" t="s">
        <v>36</v>
      </c>
      <c r="D3">
        <v>293.14516191028031</v>
      </c>
      <c r="E3">
        <v>44.128769806587329</v>
      </c>
      <c r="F3">
        <v>6.6429488788178501</v>
      </c>
      <c r="G3">
        <v>1</v>
      </c>
      <c r="R3" s="3" t="s">
        <v>33</v>
      </c>
      <c r="S3" s="3" t="s">
        <v>36</v>
      </c>
    </row>
    <row r="4" spans="1:20" x14ac:dyDescent="0.25">
      <c r="A4">
        <v>6.6429488788178501</v>
      </c>
      <c r="B4">
        <v>40.606511238293379</v>
      </c>
      <c r="D4">
        <v>137.09691560302386</v>
      </c>
      <c r="E4">
        <v>26.587966492425544</v>
      </c>
      <c r="F4">
        <v>5.1563520528010445</v>
      </c>
      <c r="G4">
        <v>1</v>
      </c>
      <c r="R4" s="5">
        <v>6.6429488788178501</v>
      </c>
      <c r="S4" s="5">
        <v>40.606511238293365</v>
      </c>
    </row>
    <row r="5" spans="1:20" x14ac:dyDescent="0.25">
      <c r="A5">
        <v>5.1563520528010445</v>
      </c>
      <c r="B5">
        <v>51.006643167967802</v>
      </c>
      <c r="D5">
        <v>42.453288359042446</v>
      </c>
      <c r="E5">
        <v>12.169541715202111</v>
      </c>
      <c r="F5">
        <v>3.4884870237972954</v>
      </c>
      <c r="G5">
        <v>1</v>
      </c>
      <c r="R5" s="5">
        <v>5.1563520528010445</v>
      </c>
      <c r="S5" s="5">
        <v>51.006643167967809</v>
      </c>
    </row>
    <row r="6" spans="1:20" x14ac:dyDescent="0.25">
      <c r="A6">
        <v>4.2633822832780677</v>
      </c>
      <c r="B6">
        <v>61.472489209281171</v>
      </c>
      <c r="D6">
        <v>12.571027371629373</v>
      </c>
      <c r="E6">
        <v>5.4064706290453133</v>
      </c>
      <c r="F6">
        <v>2.3251818485970754</v>
      </c>
      <c r="G6">
        <v>1</v>
      </c>
      <c r="R6" s="4">
        <v>4.7486620528164787</v>
      </c>
      <c r="S6" s="4">
        <v>55.000028181114516</v>
      </c>
    </row>
    <row r="7" spans="1:20" x14ac:dyDescent="0.25">
      <c r="A7">
        <v>3.4884870237972954</v>
      </c>
      <c r="B7">
        <v>72.938689685805457</v>
      </c>
      <c r="R7" s="5">
        <v>4.2633822832780677</v>
      </c>
      <c r="S7" s="5">
        <v>60.780910280780603</v>
      </c>
    </row>
    <row r="8" spans="1:20" x14ac:dyDescent="0.25">
      <c r="A8">
        <v>3.0613442362541394</v>
      </c>
      <c r="B8">
        <v>85</v>
      </c>
      <c r="D8">
        <f t="array" ref="D8:G11">MINVERSE(D3:G6)</f>
        <v>4.9388099321826709E-2</v>
      </c>
      <c r="E8">
        <v>-0.14245572818465091</v>
      </c>
      <c r="F8">
        <v>0.16338800013057397</v>
      </c>
      <c r="G8">
        <v>-7.0320371267749787E-2</v>
      </c>
      <c r="I8">
        <v>40.606511238293379</v>
      </c>
      <c r="R8" s="5">
        <v>3.4884870237972954</v>
      </c>
      <c r="S8" s="5">
        <v>72.938689685805457</v>
      </c>
    </row>
    <row r="9" spans="1:20" x14ac:dyDescent="0.25">
      <c r="A9">
        <v>2.3251818485970754</v>
      </c>
      <c r="B9">
        <v>100</v>
      </c>
      <c r="D9">
        <v>-0.54178848301606908</v>
      </c>
      <c r="E9">
        <v>1.7745165524667863</v>
      </c>
      <c r="F9">
        <v>-2.3077709943382154</v>
      </c>
      <c r="G9">
        <v>1.0750429248874984</v>
      </c>
      <c r="I9">
        <v>51.006643167967802</v>
      </c>
      <c r="R9" s="5">
        <v>3.0613442362541394</v>
      </c>
      <c r="S9" s="5">
        <v>81.504570809844253</v>
      </c>
    </row>
    <row r="10" spans="1:20" x14ac:dyDescent="0.25">
      <c r="D10">
        <v>1.8811280112417512</v>
      </c>
      <c r="E10">
        <v>-6.6571373567526333</v>
      </c>
      <c r="F10">
        <v>10.079226563355359</v>
      </c>
      <c r="G10">
        <v>-5.3032172178444776</v>
      </c>
      <c r="I10">
        <v>72.938689685805457</v>
      </c>
      <c r="R10" s="5">
        <v>2.3251818485970754</v>
      </c>
      <c r="S10" s="5">
        <v>100.00000000000003</v>
      </c>
    </row>
    <row r="11" spans="1:20" x14ac:dyDescent="0.25">
      <c r="D11">
        <v>-2.0656603344528754</v>
      </c>
      <c r="E11">
        <v>7.675998182126949</v>
      </c>
      <c r="F11">
        <v>-13.013093575396329</v>
      </c>
      <c r="G11">
        <v>8.4027557277222567</v>
      </c>
      <c r="I11">
        <v>100</v>
      </c>
      <c r="R11" s="5"/>
      <c r="S11" s="5"/>
    </row>
    <row r="12" spans="1:20" x14ac:dyDescent="0.25">
      <c r="R12" s="5"/>
      <c r="S12" s="5"/>
    </row>
    <row r="13" spans="1:20" x14ac:dyDescent="0.25">
      <c r="D13">
        <f t="array" ref="D13:D16">MMULT(D8:G11,I8:I11)</f>
        <v>-0.37544057146449816</v>
      </c>
      <c r="R13" s="5"/>
      <c r="S13" s="5"/>
    </row>
    <row r="14" spans="1:20" x14ac:dyDescent="0.25">
      <c r="D14">
        <v>7.6904925297678943</v>
      </c>
      <c r="R14" s="5"/>
      <c r="S14" s="5"/>
    </row>
    <row r="15" spans="1:20" x14ac:dyDescent="0.25">
      <c r="D15">
        <v>-58.328327153817156</v>
      </c>
    </row>
    <row r="16" spans="1:20" x14ac:dyDescent="0.25">
      <c r="D16">
        <v>198.76521927230544</v>
      </c>
    </row>
  </sheetData>
  <sortState ref="R4:S14">
    <sortCondition descending="1" ref="R4"/>
  </sortState>
  <mergeCells count="1">
    <mergeCell ref="A1:T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9"/>
  <sheetViews>
    <sheetView zoomScaleNormal="100" workbookViewId="0">
      <selection sqref="A1:T1"/>
    </sheetView>
  </sheetViews>
  <sheetFormatPr defaultRowHeight="15" x14ac:dyDescent="0.25"/>
  <sheetData>
    <row r="1" spans="1:20" ht="18.75" x14ac:dyDescent="0.3">
      <c r="A1" s="38" t="s">
        <v>38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20" x14ac:dyDescent="0.25">
      <c r="A3" s="3" t="s">
        <v>33</v>
      </c>
      <c r="B3" s="3" t="s">
        <v>36</v>
      </c>
      <c r="D3">
        <v>1947.3483246427738</v>
      </c>
      <c r="E3">
        <v>293.14516191028031</v>
      </c>
      <c r="F3">
        <v>44.128769806587329</v>
      </c>
      <c r="G3">
        <v>6.6429488788178501</v>
      </c>
      <c r="H3">
        <v>1</v>
      </c>
      <c r="R3" s="3" t="s">
        <v>33</v>
      </c>
      <c r="S3" s="3" t="s">
        <v>36</v>
      </c>
    </row>
    <row r="4" spans="1:20" x14ac:dyDescent="0.25">
      <c r="A4">
        <v>6.6429488788178501</v>
      </c>
      <c r="B4">
        <v>40.606511238293379</v>
      </c>
      <c r="D4">
        <v>706.91996220234353</v>
      </c>
      <c r="E4">
        <v>137.09691560302386</v>
      </c>
      <c r="F4">
        <v>26.587966492425544</v>
      </c>
      <c r="G4">
        <v>5.1563520528010445</v>
      </c>
      <c r="H4">
        <v>1</v>
      </c>
      <c r="R4" s="5">
        <v>6.6429488788178501</v>
      </c>
      <c r="S4" s="5">
        <v>40.606511238296889</v>
      </c>
    </row>
    <row r="5" spans="1:20" x14ac:dyDescent="0.25">
      <c r="A5">
        <v>5.1563520528010445</v>
      </c>
      <c r="B5">
        <v>51.006643167967802</v>
      </c>
      <c r="D5">
        <v>330.38255277456773</v>
      </c>
      <c r="E5">
        <v>77.493063211901372</v>
      </c>
      <c r="F5">
        <v>18.176428493369311</v>
      </c>
      <c r="G5">
        <v>4.2633822832780677</v>
      </c>
      <c r="H5">
        <v>1</v>
      </c>
      <c r="R5" s="5">
        <v>5.1563520528010445</v>
      </c>
      <c r="S5" s="5">
        <v>51.006643167970253</v>
      </c>
    </row>
    <row r="6" spans="1:20" x14ac:dyDescent="0.25">
      <c r="A6">
        <v>4.2633822832780677</v>
      </c>
      <c r="B6">
        <v>61.472489209281171</v>
      </c>
      <c r="D6">
        <v>87.831170049074657</v>
      </c>
      <c r="E6">
        <v>28.690393262191538</v>
      </c>
      <c r="F6">
        <v>9.3718285328464397</v>
      </c>
      <c r="G6">
        <v>3.0613442362541394</v>
      </c>
      <c r="H6">
        <v>1</v>
      </c>
      <c r="R6" s="4">
        <v>4.7453920528166025</v>
      </c>
      <c r="S6" s="4">
        <v>55.000106624514331</v>
      </c>
    </row>
    <row r="7" spans="1:20" x14ac:dyDescent="0.25">
      <c r="A7">
        <v>3.4884870237972954</v>
      </c>
      <c r="B7">
        <v>72.938689685805457</v>
      </c>
      <c r="D7">
        <v>29.229924662729623</v>
      </c>
      <c r="E7">
        <v>12.571027371629373</v>
      </c>
      <c r="F7">
        <v>5.4064706290453133</v>
      </c>
      <c r="G7">
        <v>2.3251818485970754</v>
      </c>
      <c r="H7">
        <v>1</v>
      </c>
      <c r="R7" s="5">
        <v>4.2633822832780677</v>
      </c>
      <c r="S7" s="5">
        <v>61.472489209282912</v>
      </c>
    </row>
    <row r="8" spans="1:20" x14ac:dyDescent="0.25">
      <c r="A8">
        <v>3.0613442362541394</v>
      </c>
      <c r="B8">
        <v>85</v>
      </c>
      <c r="R8" s="5">
        <v>3.4884870237972954</v>
      </c>
      <c r="S8" s="5">
        <v>75.800610813124706</v>
      </c>
    </row>
    <row r="9" spans="1:20" x14ac:dyDescent="0.25">
      <c r="A9">
        <v>2.3251818485970754</v>
      </c>
      <c r="B9">
        <v>100</v>
      </c>
      <c r="D9">
        <f t="array" ref="D9:H13">MINVERSE(D3:H7)</f>
        <v>1.8279827157674421E-2</v>
      </c>
      <c r="E9">
        <v>-0.12700429716251938</v>
      </c>
      <c r="F9">
        <v>0.20199865555146726</v>
      </c>
      <c r="G9">
        <v>-0.15060689997330901</v>
      </c>
      <c r="H9">
        <v>5.7332714426686457E-2</v>
      </c>
      <c r="J9">
        <v>40.606511238293379</v>
      </c>
      <c r="R9" s="5">
        <v>3.0613442362541394</v>
      </c>
      <c r="S9" s="5">
        <v>85.000000000001165</v>
      </c>
    </row>
    <row r="10" spans="1:20" x14ac:dyDescent="0.25">
      <c r="D10">
        <v>-0.27065588134611696</v>
      </c>
      <c r="E10">
        <v>2.0692628834177684</v>
      </c>
      <c r="F10">
        <v>-3.4715139518670552</v>
      </c>
      <c r="G10">
        <v>2.7693393543403895</v>
      </c>
      <c r="H10">
        <v>-1.0964324045449829</v>
      </c>
      <c r="J10">
        <v>51.006643167967802</v>
      </c>
      <c r="R10" s="5">
        <v>2.3251818485970754</v>
      </c>
      <c r="S10" s="5">
        <v>100.00000000000094</v>
      </c>
    </row>
    <row r="11" spans="1:20" x14ac:dyDescent="0.25">
      <c r="D11">
        <v>1.459485653072506</v>
      </c>
      <c r="E11">
        <v>-11.962134673980453</v>
      </c>
      <c r="F11">
        <v>21.195478021311025</v>
      </c>
      <c r="G11">
        <v>-18.360031301600351</v>
      </c>
      <c r="H11">
        <v>7.6672023011972614</v>
      </c>
      <c r="J11">
        <v>61.472489209281171</v>
      </c>
      <c r="R11" s="5"/>
      <c r="S11" s="5"/>
    </row>
    <row r="12" spans="1:20" x14ac:dyDescent="0.25">
      <c r="D12">
        <v>-3.3902878859036152</v>
      </c>
      <c r="E12">
        <v>29.234785800273663</v>
      </c>
      <c r="F12">
        <v>-54.235894367093124</v>
      </c>
      <c r="G12">
        <v>51.605261892300071</v>
      </c>
      <c r="H12">
        <v>-23.213865439576978</v>
      </c>
      <c r="J12">
        <v>85</v>
      </c>
      <c r="R12" s="5"/>
      <c r="S12" s="5"/>
    </row>
    <row r="13" spans="1:20" x14ac:dyDescent="0.25">
      <c r="D13">
        <v>2.8604740590000843</v>
      </c>
      <c r="E13">
        <v>-25.603697823498123</v>
      </c>
      <c r="F13">
        <v>49.251679160171719</v>
      </c>
      <c r="G13">
        <v>-51.13986074845598</v>
      </c>
      <c r="H13">
        <v>25.631405352782284</v>
      </c>
      <c r="J13">
        <v>100</v>
      </c>
      <c r="R13" s="5"/>
      <c r="S13" s="5"/>
    </row>
    <row r="14" spans="1:20" x14ac:dyDescent="0.25">
      <c r="R14" s="5"/>
      <c r="S14" s="5"/>
    </row>
    <row r="15" spans="1:20" x14ac:dyDescent="0.25">
      <c r="D15">
        <f t="array" ref="D15:D19">MMULT(D9:H13,J9:J13)</f>
        <v>-0.38673774064074706</v>
      </c>
    </row>
    <row r="16" spans="1:20" x14ac:dyDescent="0.25">
      <c r="D16">
        <v>6.9037631460372069</v>
      </c>
    </row>
    <row r="17" spans="4:4" x14ac:dyDescent="0.25">
      <c r="D17">
        <v>-41.827350834984713</v>
      </c>
    </row>
    <row r="18" spans="4:4" x14ac:dyDescent="0.25">
      <c r="D18">
        <v>84.5458099174989</v>
      </c>
    </row>
    <row r="19" spans="4:4" x14ac:dyDescent="0.25">
      <c r="D19">
        <v>54.070880732096157</v>
      </c>
    </row>
  </sheetData>
  <sortState ref="R4:S14">
    <sortCondition descending="1" ref="R4"/>
  </sortState>
  <mergeCells count="1">
    <mergeCell ref="A1:T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1"/>
  <sheetViews>
    <sheetView workbookViewId="0">
      <pane xSplit="14" ySplit="3" topLeftCell="O4" activePane="bottomRight" state="frozen"/>
      <selection pane="topRight" activeCell="O1" sqref="O1"/>
      <selection pane="bottomLeft" activeCell="A4" sqref="A4"/>
      <selection pane="bottomRight" sqref="A1:N1"/>
    </sheetView>
  </sheetViews>
  <sheetFormatPr defaultRowHeight="15" x14ac:dyDescent="0.25"/>
  <cols>
    <col min="1" max="1" width="9.140625" style="6"/>
    <col min="2" max="2" width="13" style="7" customWidth="1"/>
    <col min="3" max="3" width="12" style="7" customWidth="1"/>
    <col min="4" max="4" width="14.140625" style="7" customWidth="1"/>
    <col min="5" max="5" width="34.7109375" style="7" bestFit="1" customWidth="1"/>
    <col min="6" max="6" width="8" style="7" customWidth="1"/>
    <col min="7" max="7" width="8.7109375" style="7" customWidth="1"/>
    <col min="8" max="8" width="9.140625" style="7" customWidth="1"/>
    <col min="9" max="9" width="8.140625" style="7" customWidth="1"/>
    <col min="10" max="10" width="9.28515625" style="7" customWidth="1"/>
    <col min="11" max="11" width="8.85546875" style="7" customWidth="1"/>
    <col min="12" max="12" width="7.85546875" style="7" customWidth="1"/>
    <col min="13" max="14" width="9" style="7" customWidth="1"/>
  </cols>
  <sheetData>
    <row r="1" spans="1:14" ht="21" x14ac:dyDescent="0.35">
      <c r="A1" s="42" t="s">
        <v>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ht="27.75" customHeight="1" x14ac:dyDescent="0.25">
      <c r="A2" s="43" t="s">
        <v>40</v>
      </c>
      <c r="B2" s="41" t="s">
        <v>41</v>
      </c>
      <c r="C2" s="41" t="s">
        <v>44</v>
      </c>
      <c r="D2" s="41" t="s">
        <v>42</v>
      </c>
      <c r="E2" s="41" t="s">
        <v>43</v>
      </c>
      <c r="F2" s="41" t="s">
        <v>45</v>
      </c>
      <c r="G2" s="41"/>
      <c r="H2" s="41"/>
      <c r="I2" s="41" t="s">
        <v>46</v>
      </c>
      <c r="J2" s="41"/>
      <c r="K2" s="41"/>
      <c r="L2" s="41" t="s">
        <v>47</v>
      </c>
      <c r="M2" s="41"/>
      <c r="N2" s="41"/>
    </row>
    <row r="3" spans="1:14" ht="48.75" customHeight="1" x14ac:dyDescent="0.25">
      <c r="A3" s="43"/>
      <c r="B3" s="41"/>
      <c r="C3" s="41"/>
      <c r="D3" s="41"/>
      <c r="E3" s="41"/>
      <c r="F3" s="9" t="s">
        <v>36</v>
      </c>
      <c r="G3" s="9" t="s">
        <v>33</v>
      </c>
      <c r="H3" s="9" t="s">
        <v>48</v>
      </c>
      <c r="I3" s="9" t="s">
        <v>36</v>
      </c>
      <c r="J3" s="9" t="s">
        <v>33</v>
      </c>
      <c r="K3" s="9" t="s">
        <v>48</v>
      </c>
      <c r="L3" s="9" t="s">
        <v>36</v>
      </c>
      <c r="M3" s="9" t="s">
        <v>33</v>
      </c>
      <c r="N3" s="9" t="s">
        <v>48</v>
      </c>
    </row>
    <row r="11" spans="1:14" x14ac:dyDescent="0.25">
      <c r="G11" s="8"/>
      <c r="H11" s="8"/>
      <c r="I11" s="8"/>
    </row>
  </sheetData>
  <mergeCells count="9">
    <mergeCell ref="F2:H2"/>
    <mergeCell ref="I2:K2"/>
    <mergeCell ref="L2:N2"/>
    <mergeCell ref="A1:N1"/>
    <mergeCell ref="A2:A3"/>
    <mergeCell ref="B2:B3"/>
    <mergeCell ref="C2:C3"/>
    <mergeCell ref="D2:D3"/>
    <mergeCell ref="E2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pagarHistorico.apagarHistorico">
                <anchor moveWithCells="1" sizeWithCells="1">
                  <from>
                    <xdr:col>14</xdr:col>
                    <xdr:colOff>180975</xdr:colOff>
                    <xdr:row>0</xdr:row>
                    <xdr:rowOff>57150</xdr:rowOff>
                  </from>
                  <to>
                    <xdr:col>16</xdr:col>
                    <xdr:colOff>285750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Dados</vt:lpstr>
      <vt:lpstr>Gráfico</vt:lpstr>
      <vt:lpstr>2º Grau</vt:lpstr>
      <vt:lpstr>3º Grau</vt:lpstr>
      <vt:lpstr>4º Grau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Victor</dc:creator>
  <cp:lastModifiedBy>Micro02</cp:lastModifiedBy>
  <cp:lastPrinted>2016-07-13T13:23:59Z</cp:lastPrinted>
  <dcterms:created xsi:type="dcterms:W3CDTF">2016-05-11T18:58:47Z</dcterms:created>
  <dcterms:modified xsi:type="dcterms:W3CDTF">2016-08-03T17:36:08Z</dcterms:modified>
</cp:coreProperties>
</file>